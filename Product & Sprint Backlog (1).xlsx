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/Users/jmichaeljg/Documents/_Michael/Uniempresarial/Pruebas de Spftware/"/>
    </mc:Choice>
  </mc:AlternateContent>
  <xr:revisionPtr revIDLastSave="0" documentId="8_{13AB1284-7A35-455A-9F19-3D6319C29AA6}" xr6:coauthVersionLast="47" xr6:coauthVersionMax="47" xr10:uidLastSave="{00000000-0000-0000-0000-000000000000}"/>
  <bookViews>
    <workbookView xWindow="0" yWindow="660" windowWidth="30240" windowHeight="17860" activeTab="4" xr2:uid="{00000000-000D-0000-FFFF-FFFF00000000}"/>
  </bookViews>
  <sheets>
    <sheet name="Product Backlog" sheetId="3" r:id="rId1"/>
    <sheet name="Sprint 1 Backlog" sheetId="1" r:id="rId2"/>
    <sheet name="Sprint 2 Backlog" sheetId="6" r:id="rId3"/>
    <sheet name="Testing Plan" sheetId="7" r:id="rId4"/>
    <sheet name="Ex form Testing" sheetId="8" r:id="rId5"/>
    <sheet name="KPI's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9" l="1"/>
  <c r="E3" i="9"/>
  <c r="A15" i="1"/>
  <c r="B15" i="1"/>
  <c r="A10" i="1"/>
  <c r="B10" i="1"/>
  <c r="D59" i="6"/>
  <c r="D54" i="6"/>
  <c r="D49" i="6"/>
  <c r="D44" i="6"/>
  <c r="D39" i="6"/>
  <c r="D34" i="6"/>
  <c r="D29" i="6"/>
  <c r="D24" i="6"/>
  <c r="D19" i="6"/>
  <c r="D14" i="6"/>
  <c r="D19" i="1" l="1"/>
  <c r="D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2" authorId="0" shapeId="0" xr:uid="{CE010D0C-3B1D-0542-ACFF-0782227486B9}">
      <text>
        <r>
          <rPr>
            <b/>
            <sz val="10"/>
            <color rgb="FF000000"/>
            <rFont val="Tahoma"/>
            <family val="2"/>
          </rPr>
          <t xml:space="preserve">No ejecutado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Aprobado (Passed)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Fallido (Failed)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Bloqueado (Blocked)</t>
        </r>
      </text>
    </comment>
    <comment ref="B24" authorId="0" shapeId="0" xr:uid="{B73E107E-0027-44E0-863C-279D66FE93D1}">
      <text>
        <r>
          <rPr>
            <b/>
            <sz val="10"/>
            <color rgb="FF000000"/>
            <rFont val="Tahoma"/>
            <family val="2"/>
          </rPr>
          <t xml:space="preserve">No ejecutado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Aprobado (Passed)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Fallido (Failed)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Bloqueado (Blocked)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<sst xmlns="http://schemas.openxmlformats.org/spreadsheetml/2006/main" count="279" uniqueCount="178">
  <si>
    <t>Product Backlog</t>
  </si>
  <si>
    <t>Enter your acceptance criteria,  in your Sprint Review (demo) what would the PO be looking for before you can demo?</t>
  </si>
  <si>
    <t>Priority</t>
  </si>
  <si>
    <t>Story or Feature</t>
  </si>
  <si>
    <t>Estimate in Points</t>
  </si>
  <si>
    <t>Acceptance Criteria</t>
  </si>
  <si>
    <t>Definition of DONE</t>
  </si>
  <si>
    <t>HU-01</t>
  </si>
  <si>
    <t>Como visitante del sistema, quiero crear una cuenta proporcionando mis datos personales y credenciales, para acceder a las funcionalidades disponibles para usuarios registrados.</t>
  </si>
  <si>
    <t>CA-01.1: El formulario solicita nombre, correo electrónico, contraseña y confirmación.
CA-01.2: Todos los campos son obligatorios.
CA-01.3: El correo electrónico debe tener un formato válido y ser único, sin distinguir mayúsculas de minúsculas.
CA-01.4: La contraseña debe tener al menos 8 caracteres, una letra mayúscula, una minúscula y un número.
CA-01.5: La contraseña y su confirmación deben coincidir.
CA-01.6: Cuando los datos son válidos, se crea el usuario y se presenta un mensaje de confirmación.
CA-01.7: Las contraseñas se almacenan mediante un algoritmo de hashing seguro, nunca en texto plano.</t>
  </si>
  <si>
    <t>DoD Sprint 1: código funcional + criterios de aceptación verificados + casos de prueba documentados.</t>
  </si>
  <si>
    <t>HU-02</t>
  </si>
  <si>
    <t>Como usuario registrado, quiero iniciar sesión mediante mi correo y contraseña, para acceder a un área privada del sistema.</t>
  </si>
  <si>
    <t>CA-02.1: El formulario solicita correo electrónico y contraseña.
CA-02.2: El sistema permite iniciar sesión con credenciales válidas.
CA-02.3: Si las credenciales son incorrectas, se muestra un mensaje genérico sin revelar cuál dato falló.
CA-02.4: No se permite iniciar sesión con campos vacíos.
CA-02.5: Al autenticarse, el usuario es redirigido a una página privada.
CA-02.6: Un visitante no autenticado no puede acceder directamente a páginas privadas.</t>
  </si>
  <si>
    <t>HU-03</t>
  </si>
  <si>
    <t>Como usuario registrado, quiero recuperar el acceso a mi cuenta mediante mi correo electrónico, para establecer una nueva contraseña si olvido la anterior.</t>
  </si>
  <si>
    <t>CA-03.1: El formulario permite solicitar la recuperación mediante un correo electrónico
CA-03.2: El sistema presenta un mensaje genérico de confirmación, independientemente de si el correo está registrado.
CA-03.3: Si la cuenta existe, se genera un enlace de recuperación con un token seguro, de un solo uso, enviado al correo registrado.
CA-03.4: El enlace expira después de 30 minutos.
CA-03.5: La nueva contraseña debe cumplir las reglas de seguridad definidas en HU-01.
CA-03.6: Al cambiar exitosamente la contraseña, el token queda invalidado.
CA-03.7: La contraseña anterior deja de permitir el inicio de sesión.</t>
  </si>
  <si>
    <t>HU-04</t>
  </si>
  <si>
    <t>Como usuario autenticado, quiero cerrar mi sesión, para evitar que otras personas utilicen mi sesión activa.</t>
  </si>
  <si>
    <t>CA-04.1: El usuario autenticado dispone de una opción para cerrar sesión.
CA-04.2: Al cerrar sesión se invalida la sesión actual en el servidor.
CA-04.3: El usuario es redirigido a la página de inicio de sesión.
CA-04.4: Después de cerrar sesión no puede acceder a páginas privadas usando la URL directamente o el botón Atrás sin autenticarse nuevamente</t>
  </si>
  <si>
    <t>HU-05</t>
  </si>
  <si>
    <t>Como usuario registrado, quiero que el sistema limite los intentos de autenticación fallidos, para reducir el riesgo de accesos no autorizados</t>
  </si>
  <si>
    <t>CA-05.1: Se permiten como máximo cinco intentos fallidos consecutivos para una misma combinación de cuenta e IP durante una ventana de 15 minutos.
CA-05.2: Al superar el límite, los intentos posteriores quedan temporalmente bloqueados durante 15 minutos.
CA-05.3: El sistema presenta un mensaje comprensible sin revelar información sensible.
CA-05.4: Después del período de bloqueo se puede volver a intentar el inicio de sesión.
CA-05.5: Un inicio de sesión exitoso reinicia el contador correspondiente</t>
  </si>
  <si>
    <t>Sprint 1 Goal</t>
  </si>
  <si>
    <t>Sprint Goal
Desarrollar y validar un módulo básico de autenticación que permita registrar usuarios, iniciar sesión, cerrar sesión y recuperar contraseñas, demostrando el cumplimiento de los criterios de aceptación mediante casos de prueba positivos y negativos, y una matriz de trazabilidad.</t>
  </si>
  <si>
    <t>Enter your TOTAL team capacity in real minutes: 180</t>
  </si>
  <si>
    <t>Select the highest priority Features or Stories for your Sprint</t>
  </si>
  <si>
    <t>Sprint 1 Backlog</t>
  </si>
  <si>
    <t>Estimate each task in real time</t>
  </si>
  <si>
    <t>Tasks</t>
  </si>
  <si>
    <t>Estimate in Real Minutes</t>
  </si>
  <si>
    <t>Resource Name</t>
  </si>
  <si>
    <t>Diseño BD, Diseño Funcional (Clases, Secuencias)</t>
  </si>
  <si>
    <t>All members</t>
  </si>
  <si>
    <t>Desarrollo</t>
  </si>
  <si>
    <t>Pruebas</t>
  </si>
  <si>
    <t>Ajustes</t>
  </si>
  <si>
    <t>Total</t>
  </si>
  <si>
    <t>Sprint 2 Goal</t>
  </si>
  <si>
    <t>Enter the goal of your Sprint 1</t>
  </si>
  <si>
    <t>Enter your TOTAL team capacity in real minutes:</t>
  </si>
  <si>
    <t>Sprint 2 Backlog</t>
  </si>
  <si>
    <t>Comments</t>
  </si>
  <si>
    <t>Enter user story here</t>
  </si>
  <si>
    <t>Task 1</t>
  </si>
  <si>
    <t>Task 2</t>
  </si>
  <si>
    <t>Task 3</t>
  </si>
  <si>
    <t>Task 4</t>
  </si>
  <si>
    <t>Enter another feature</t>
  </si>
  <si>
    <t>TP-S01 — Plan de pruebas funcionales</t>
  </si>
  <si>
    <t>Versión 1.0 | Aplicable a Laravel y Django</t>
  </si>
  <si>
    <t xml:space="preserve">Objetivo: </t>
  </si>
  <si>
    <t>Verificar que las funcionalidades del módulo de autenticación cumplen los criterios de aceptación definidos por el Product Owner, mediante pruebas manuales documentadas y reproducibles.</t>
  </si>
  <si>
    <t xml:space="preserve">Alcance: </t>
  </si>
  <si>
    <t>Registro, autenticación, recuperación de contraseña, cierre de sesión y control de intentos fallidos.</t>
  </si>
  <si>
    <t xml:space="preserve">Enfoque: </t>
  </si>
  <si>
    <t>Pruebas de caja negra basadas en requisitos, incluyendo partición de equivalencia, análisis de valores límite y escenarios positivos y negativos.</t>
  </si>
  <si>
    <t xml:space="preserve">Fuera de alcance: </t>
  </si>
  <si>
    <t>Automatización de pruebas unitarias, medición de cobertura, pruebas de carga y auditorías de seguridad avanzadas.</t>
  </si>
  <si>
    <t>3.1. Estrategia de pruebas</t>
  </si>
  <si>
    <t>Tipo</t>
  </si>
  <si>
    <t>Propósito</t>
  </si>
  <si>
    <t>Ejemplo</t>
  </si>
  <si>
    <t>Positivas</t>
  </si>
  <si>
    <t>Verificar comportamientos con entradas válidas</t>
  </si>
  <si>
    <t>Registrar un usuario correctamente</t>
  </si>
  <si>
    <t>Negativas</t>
  </si>
  <si>
    <t>Verificar rechazo de entradas inválidas</t>
  </si>
  <si>
    <t>Iniciar sesión con contraseña incorrecta</t>
  </si>
  <si>
    <t>Valores límite</t>
  </si>
  <si>
    <t>Evaluar restricciones en sus extremos</t>
  </si>
  <si>
    <t>Contraseña de 7, 8 y 9 caracteres</t>
  </si>
  <si>
    <t>Partición de equivalencia</t>
  </si>
  <si>
    <t>Seleccionar datos representativos de clases válidas e inválidas</t>
  </si>
  <si>
    <t>Correos válidos, inválidos y duplicados</t>
  </si>
  <si>
    <t>Funcionales de seguridad</t>
  </si>
  <si>
    <t>Comprobar controles de acceso y protección de credenciales</t>
  </si>
  <si>
    <t>Acceder a una URL privada sin autenticación</t>
  </si>
  <si>
    <t>3.2. Condiciones del entorno</t>
  </si>
  <si>
    <t>Todos los equipos deberán disponer de:</t>
  </si>
  <si>
    <t>Una aplicación funcional ejecutándose localmente o en un entorno de pruebas.</t>
  </si>
  <si>
    <t>Una base de datos independiente para testing, PostgreSQL o MySQL.</t>
  </si>
  <si>
    <t>Un usuario previamente registrado y un correo no registrado.</t>
  </si>
  <si>
    <t>Un mecanismo de correo de pruebas, como un servidor SMTP local o un buzón de desarrollo.</t>
  </si>
  <si>
    <t>Datos de prueba identificables y reutilizables.</t>
  </si>
  <si>
    <t>Un repositorio Git con las implementaciones y evidencias.</t>
  </si>
  <si>
    <t>Las pruebas de recuperación de contraseña deben ejecutarse con correos de prueba. No es necesario utilizar cuentas personales ni servicios de correo reales.</t>
  </si>
  <si>
    <t>4. Catálogo de casos de prueba</t>
  </si>
  <si>
    <t>Los siguientes casos constituyen el conjunto mínimo obligatorio. Cada equipo deberá documentar los pasos detallados, ejecutar las pruebas y registrar los resultados.</t>
  </si>
  <si>
    <t>HU-01 — Registro de usuarios</t>
  </si>
  <si>
    <t>ID</t>
  </si>
  <si>
    <t>Escenario y datos</t>
  </si>
  <si>
    <t>Resultado esperado</t>
  </si>
  <si>
    <t>CP-01</t>
  </si>
  <si>
    <r>
      <t xml:space="preserve">Registrar </t>
    </r>
    <r>
      <rPr>
        <sz val="10"/>
        <color rgb="FF000000"/>
        <rFont val="Arial Unicode MS"/>
        <family val="2"/>
      </rPr>
      <t>ana@test.local</t>
    </r>
    <r>
      <rPr>
        <sz val="10"/>
        <color rgb="FF000000"/>
        <rFont val="Arial"/>
        <family val="2"/>
      </rPr>
      <t xml:space="preserve"> con datos válidos</t>
    </r>
  </si>
  <si>
    <t>Usuario creado exitosamente</t>
  </si>
  <si>
    <t>Positivo</t>
  </si>
  <si>
    <t>CP-02</t>
  </si>
  <si>
    <t>Enviar todos los campos vacíos</t>
  </si>
  <si>
    <t>Mensajes de obligatoriedad; no se crea usuario</t>
  </si>
  <si>
    <t>Negativo</t>
  </si>
  <si>
    <t>CP-03</t>
  </si>
  <si>
    <r>
      <t xml:space="preserve">Registrar correo </t>
    </r>
    <r>
      <rPr>
        <sz val="10"/>
        <color rgb="FF000000"/>
        <rFont val="Arial Unicode MS"/>
        <family val="2"/>
      </rPr>
      <t>ana@correo</t>
    </r>
  </si>
  <si>
    <t>Correo rechazado por formato inválido</t>
  </si>
  <si>
    <t>CP-04</t>
  </si>
  <si>
    <r>
      <t xml:space="preserve">Registrar correo existente </t>
    </r>
    <r>
      <rPr>
        <sz val="10"/>
        <color rgb="FF000000"/>
        <rFont val="Arial Unicode MS"/>
        <family val="2"/>
      </rPr>
      <t>ANA@test.local</t>
    </r>
  </si>
  <si>
    <t>Se rechaza el duplicado</t>
  </si>
  <si>
    <t>CP-05</t>
  </si>
  <si>
    <r>
      <t xml:space="preserve">Contraseña </t>
    </r>
    <r>
      <rPr>
        <sz val="10"/>
        <color rgb="FF000000"/>
        <rFont val="Arial Unicode MS"/>
        <family val="2"/>
      </rPr>
      <t>Abc1234</t>
    </r>
    <r>
      <rPr>
        <sz val="10"/>
        <color rgb="FF000000"/>
        <rFont val="Arial"/>
        <family val="2"/>
      </rPr>
      <t xml:space="preserve"> (7 caracteres)</t>
    </r>
  </si>
  <si>
    <t>Contraseña rechazada</t>
  </si>
  <si>
    <t>Límite</t>
  </si>
  <si>
    <t>CP-06</t>
  </si>
  <si>
    <r>
      <t xml:space="preserve">Contraseña </t>
    </r>
    <r>
      <rPr>
        <sz val="10"/>
        <color rgb="FF000000"/>
        <rFont val="Arial Unicode MS"/>
        <family val="2"/>
      </rPr>
      <t>Abcd1234</t>
    </r>
    <r>
      <rPr>
        <sz val="10"/>
        <color rgb="FF000000"/>
        <rFont val="Arial"/>
        <family val="2"/>
      </rPr>
      <t xml:space="preserve"> (8 caracteres)</t>
    </r>
  </si>
  <si>
    <t>Contraseña aceptada</t>
  </si>
  <si>
    <t>CP-07</t>
  </si>
  <si>
    <t>Contraseña y confirmación diferentes</t>
  </si>
  <si>
    <t>Registro rechazado</t>
  </si>
  <si>
    <t>CP-08</t>
  </si>
  <si>
    <t>Verificar el valor almacenado en BD</t>
  </si>
  <si>
    <t>No coincide con contraseña en texto plano; se utiliza hashing seguro</t>
  </si>
  <si>
    <t>Seguridad</t>
  </si>
  <si>
    <t>HU-02 — Inicio de sesión</t>
  </si>
  <si>
    <t>CP-09</t>
  </si>
  <si>
    <t>Correo y contraseña correctos</t>
  </si>
  <si>
    <t>Acceso concedido al área privada</t>
  </si>
  <si>
    <t>CP-10</t>
  </si>
  <si>
    <t>Correo correcto, contraseña incorrecta</t>
  </si>
  <si>
    <t>Acceso denegado con mensaje genérico</t>
  </si>
  <si>
    <t>CP-11</t>
  </si>
  <si>
    <t>Correo no registrado</t>
  </si>
  <si>
    <t>Acceso denegado sin revelar existencia de cuenta</t>
  </si>
  <si>
    <t>CP-12</t>
  </si>
  <si>
    <t>Ambos campos vacíos</t>
  </si>
  <si>
    <t>Validaciones visibles; sin autenticación</t>
  </si>
  <si>
    <t>CP-13</t>
  </si>
  <si>
    <t>Abrir URL privada sin iniciar sesión</t>
  </si>
  <si>
    <t>Acceso denegado y redirección al login</t>
  </si>
  <si>
    <t>CP-14</t>
  </si>
  <si>
    <t>Iniciar sesión y navegar al área privada</t>
  </si>
  <si>
    <t>Sesión válida y acceso autorizado</t>
  </si>
  <si>
    <t>User Story:</t>
  </si>
  <si>
    <t>Criterio de aceptación</t>
  </si>
  <si>
    <t>CA-01.6</t>
  </si>
  <si>
    <t>Tipo Prueba</t>
  </si>
  <si>
    <t>Funcional / caja negra (positiva)</t>
  </si>
  <si>
    <t xml:space="preserve">Precondición: </t>
  </si>
  <si>
    <t>El entorno de desarrollo de Laravel está activo en local (http://127.0.0.1:8000)</t>
  </si>
  <si>
    <t xml:space="preserve">Datos de entrada: </t>
  </si>
  <si>
    <t>Nombre: Samuel, Correo: samuel@test.local, Contraseña: Password123</t>
  </si>
  <si>
    <t>Pasos de ejecución</t>
  </si>
  <si>
    <t>1. Abrir la ruta /register en el navegador., 2. Rellenar los campos con un correo nuevo y una contraseña válida, 3. Enviar el formulario de registro</t>
  </si>
  <si>
    <t xml:space="preserve">Resultado esperado: </t>
  </si>
  <si>
    <t>El sistema valida los datos, crea el registro en la base de datos y redirige al dashboard.</t>
  </si>
  <si>
    <t xml:space="preserve">Evidencia requerida: </t>
  </si>
  <si>
    <t xml:space="preserve">Resultado real: </t>
  </si>
  <si>
    <t>Aprobado. El sistema validó los datos, creó el usuario en la base de datos de manera segura y mostró el mensaje de confirmación correctamente</t>
  </si>
  <si>
    <t xml:space="preserve">Estado: </t>
  </si>
  <si>
    <t>Ejecutado</t>
  </si>
  <si>
    <t>CA-02.3</t>
  </si>
  <si>
    <t>Funcional / Caja negra (Negativa)</t>
  </si>
  <si>
    <t>Existe un usuario registrado previamente en la base de datos local de XAMPP.</t>
  </si>
  <si>
    <t>Correo: samuel@test.local, Contraseña incorrecta: WrongPass999</t>
  </si>
  <si>
    <t>1. Abrir la ruta /login en el navegador, 2. Ingresar el correo correcto pero la contraseña erronea, 3. Enviar el formulario de inicio de sesion</t>
  </si>
  <si>
    <t>El sistema rechaza las credenciales y muestra un mensaje genérico de error de autenticación</t>
  </si>
  <si>
    <t>Aprobado. El sistema bloquea el acceso correctamente tal como lo validan los tests automatizados.</t>
  </si>
  <si>
    <t>Ejecutado (Aprobado)</t>
  </si>
  <si>
    <t>KPI</t>
  </si>
  <si>
    <t>Variables a medir</t>
  </si>
  <si>
    <t>Valores</t>
  </si>
  <si>
    <t>Resultado</t>
  </si>
  <si>
    <t>Cobertura</t>
  </si>
  <si>
    <t>Criterios con al menos una prueba</t>
  </si>
  <si>
    <t>La cobertura mide existencia de pruebas, no su éxito.</t>
  </si>
  <si>
    <t>Total Criterios</t>
  </si>
  <si>
    <t>Aprobacion</t>
  </si>
  <si>
    <t>Casos Aprobados</t>
  </si>
  <si>
    <t>Se reportará  la tasa de aprobación</t>
  </si>
  <si>
    <t>Casos Ejecutados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</si>
</sst>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</font>
    <font>
      <b/>
      <sz val="1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28"/>
      <color rgb="FF000000"/>
      <name val="Arial"/>
      <family val="2"/>
    </font>
    <font>
      <b/>
      <sz val="14"/>
      <color rgb="FFFF0000"/>
      <name val="Arial"/>
      <family val="2"/>
    </font>
    <font>
      <sz val="10"/>
      <color rgb="FF000000"/>
      <name val="Arial"/>
      <family val="2"/>
    </font>
    <font>
      <b/>
      <sz val="20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b/>
      <sz val="13.5"/>
      <color rgb="FF000000"/>
      <name val="Arial"/>
      <family val="2"/>
    </font>
    <font>
      <sz val="10"/>
      <color rgb="FF000000"/>
      <name val="Arial Unicode MS"/>
      <family val="2"/>
    </font>
    <font>
      <b/>
      <sz val="10"/>
      <color rgb="FF000000"/>
      <name val="Tahoma"/>
      <family val="2"/>
    </font>
    <font>
      <u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6"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4" fillId="2" borderId="0" xfId="0" applyFont="1" applyFill="1" applyAlignment="1">
      <alignment horizontal="center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4" fillId="4" borderId="0" xfId="0" applyFont="1" applyFill="1" applyAlignment="1">
      <alignment horizontal="center" wrapText="1"/>
    </xf>
    <xf numFmtId="0" fontId="1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5" borderId="1" xfId="0" quotePrefix="1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13" fillId="0" borderId="0" xfId="0" applyFont="1"/>
    <xf numFmtId="0" fontId="0" fillId="0" borderId="0" xfId="0"/>
    <xf numFmtId="0" fontId="12" fillId="0" borderId="0" xfId="0" applyFont="1"/>
    <xf numFmtId="0" fontId="8" fillId="0" borderId="0" xfId="0" applyFont="1"/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" fillId="0" borderId="0" xfId="0" applyFont="1"/>
    <xf numFmtId="0" fontId="1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12" fillId="0" borderId="1" xfId="0" applyFont="1" applyBorder="1"/>
    <xf numFmtId="0" fontId="12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9" fontId="0" fillId="0" borderId="2" xfId="1" applyFont="1" applyBorder="1" applyAlignment="1">
      <alignment horizontal="center" vertical="center" wrapText="1"/>
    </xf>
    <xf numFmtId="9" fontId="0" fillId="0" borderId="4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6" fillId="0" borderId="0" xfId="0" applyFont="1" applyAlignment="1">
      <alignment wrapText="1"/>
    </xf>
  </cellXfs>
  <cellStyles count="2">
    <cellStyle name="Normal" xfId="0" builtinId="0"/>
    <cellStyle name="Porcentaje" xfId="1" builtinId="5"/>
  </cellStyles>
  <dxfs count="16">
    <dxf>
      <fill>
        <patternFill patternType="solid">
          <bgColor rgb="FFD0E0E3"/>
        </patternFill>
      </fill>
    </dxf>
    <dxf>
      <fill>
        <patternFill patternType="solid">
          <bgColor rgb="FFFFE599"/>
        </patternFill>
      </fill>
    </dxf>
    <dxf>
      <fill>
        <patternFill patternType="solid">
          <bgColor rgb="FFF6B26B"/>
        </patternFill>
      </fill>
    </dxf>
    <dxf>
      <fill>
        <patternFill patternType="solid">
          <bgColor rgb="FFEA9999"/>
        </patternFill>
      </fill>
    </dxf>
    <dxf>
      <fill>
        <patternFill patternType="solid">
          <bgColor rgb="FFD0E0E3"/>
        </patternFill>
      </fill>
    </dxf>
    <dxf>
      <fill>
        <patternFill patternType="solid">
          <bgColor rgb="FFFFE599"/>
        </patternFill>
      </fill>
    </dxf>
    <dxf>
      <fill>
        <patternFill patternType="solid">
          <bgColor rgb="FFF6B26B"/>
        </patternFill>
      </fill>
    </dxf>
    <dxf>
      <fill>
        <patternFill patternType="solid">
          <bgColor rgb="FFEA9999"/>
        </patternFill>
      </fill>
    </dxf>
    <dxf>
      <fill>
        <patternFill patternType="solid">
          <bgColor rgb="FFD0E0E3"/>
        </patternFill>
      </fill>
    </dxf>
    <dxf>
      <fill>
        <patternFill patternType="solid">
          <bgColor rgb="FFFFE599"/>
        </patternFill>
      </fill>
    </dxf>
    <dxf>
      <fill>
        <patternFill patternType="solid">
          <bgColor rgb="FFF6B26B"/>
        </patternFill>
      </fill>
    </dxf>
    <dxf>
      <fill>
        <patternFill patternType="solid">
          <bgColor rgb="FFEA9999"/>
        </patternFill>
      </fill>
    </dxf>
    <dxf>
      <fill>
        <patternFill patternType="solid">
          <bgColor rgb="FFD0E0E3"/>
        </patternFill>
      </fill>
    </dxf>
    <dxf>
      <fill>
        <patternFill patternType="solid">
          <bgColor rgb="FFFFE599"/>
        </patternFill>
      </fill>
    </dxf>
    <dxf>
      <fill>
        <patternFill patternType="solid">
          <bgColor rgb="FFF6B26B"/>
        </patternFill>
      </fill>
    </dxf>
    <dxf>
      <fill>
        <patternFill patternType="solid"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119"/>
  <sheetViews>
    <sheetView topLeftCell="A4" zoomScale="80" zoomScaleNormal="80" workbookViewId="0">
      <selection activeCell="F4" sqref="F4:F5"/>
    </sheetView>
  </sheetViews>
  <sheetFormatPr defaultColWidth="17.140625" defaultRowHeight="12.95"/>
  <cols>
    <col min="1" max="1" width="10.85546875" style="1" customWidth="1"/>
    <col min="2" max="2" width="79.28515625" style="1" customWidth="1"/>
    <col min="3" max="3" width="30" style="1" customWidth="1"/>
    <col min="4" max="4" width="107.7109375" style="1" customWidth="1"/>
    <col min="5" max="5" width="62.42578125" style="1" customWidth="1"/>
    <col min="6" max="6" width="37.42578125" style="1" customWidth="1"/>
    <col min="7" max="16384" width="17.140625" style="1"/>
  </cols>
  <sheetData>
    <row r="2" spans="1:18" ht="45" customHeight="1"/>
    <row r="3" spans="1:18" ht="48">
      <c r="A3" s="17"/>
      <c r="B3" s="19" t="s">
        <v>0</v>
      </c>
      <c r="C3" s="28"/>
      <c r="D3" s="17" t="s">
        <v>1</v>
      </c>
      <c r="E3" s="17"/>
    </row>
    <row r="4" spans="1:18" s="6" customFormat="1" ht="38.1">
      <c r="A4" s="18" t="s">
        <v>2</v>
      </c>
      <c r="B4" s="18" t="s">
        <v>3</v>
      </c>
      <c r="C4" s="18" t="s">
        <v>4</v>
      </c>
      <c r="D4" s="18" t="s">
        <v>5</v>
      </c>
      <c r="E4" s="18" t="s">
        <v>6</v>
      </c>
      <c r="F4" s="4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s="3" customFormat="1" ht="209.1">
      <c r="A5" s="23" t="s">
        <v>7</v>
      </c>
      <c r="B5" s="21" t="s">
        <v>8</v>
      </c>
      <c r="C5" s="21">
        <v>20</v>
      </c>
      <c r="D5" s="22" t="s">
        <v>9</v>
      </c>
      <c r="E5" s="23" t="s">
        <v>10</v>
      </c>
      <c r="F5" s="44"/>
    </row>
    <row r="6" spans="1:18" s="3" customFormat="1" ht="132.94999999999999">
      <c r="A6" s="23" t="s">
        <v>11</v>
      </c>
      <c r="B6" s="21" t="s">
        <v>12</v>
      </c>
      <c r="C6" s="21">
        <v>20</v>
      </c>
      <c r="D6" s="21" t="s">
        <v>13</v>
      </c>
      <c r="E6" s="23" t="s">
        <v>10</v>
      </c>
      <c r="F6" s="8"/>
    </row>
    <row r="7" spans="1:18" s="3" customFormat="1" ht="171">
      <c r="A7" s="23" t="s">
        <v>14</v>
      </c>
      <c r="B7" s="21" t="s">
        <v>15</v>
      </c>
      <c r="C7" s="21">
        <v>20</v>
      </c>
      <c r="D7" s="21" t="s">
        <v>16</v>
      </c>
      <c r="E7" s="23"/>
      <c r="F7" s="8"/>
    </row>
    <row r="8" spans="1:18" s="3" customFormat="1" ht="95.1">
      <c r="A8" s="23" t="s">
        <v>17</v>
      </c>
      <c r="B8" s="21" t="s">
        <v>18</v>
      </c>
      <c r="C8" s="21">
        <v>20</v>
      </c>
      <c r="D8" s="21" t="s">
        <v>19</v>
      </c>
      <c r="E8" s="23"/>
      <c r="F8" s="8"/>
    </row>
    <row r="9" spans="1:18" s="3" customFormat="1" ht="132.94999999999999">
      <c r="A9" s="23" t="s">
        <v>20</v>
      </c>
      <c r="B9" s="21" t="s">
        <v>21</v>
      </c>
      <c r="C9" s="21">
        <v>20</v>
      </c>
      <c r="D9" s="21" t="s">
        <v>22</v>
      </c>
      <c r="E9" s="23"/>
      <c r="F9" s="8"/>
    </row>
    <row r="10" spans="1:18" s="3" customFormat="1" ht="18">
      <c r="A10" s="23"/>
      <c r="B10" s="21"/>
      <c r="C10" s="21"/>
      <c r="D10" s="21"/>
      <c r="E10" s="23"/>
      <c r="F10" s="8"/>
    </row>
    <row r="11" spans="1:18" s="3" customFormat="1" ht="18">
      <c r="A11" s="23"/>
      <c r="B11" s="21"/>
      <c r="C11" s="21"/>
      <c r="D11" s="21"/>
      <c r="E11" s="23"/>
      <c r="F11" s="8"/>
    </row>
    <row r="12" spans="1:18" s="3" customFormat="1" ht="18">
      <c r="A12" s="23"/>
      <c r="B12" s="21"/>
      <c r="C12" s="21"/>
      <c r="D12" s="21"/>
      <c r="E12" s="23"/>
      <c r="F12" s="8"/>
    </row>
    <row r="13" spans="1:18" s="3" customFormat="1" ht="18">
      <c r="A13" s="23"/>
      <c r="B13" s="21"/>
      <c r="C13" s="21"/>
      <c r="D13" s="21"/>
      <c r="E13" s="23"/>
      <c r="F13" s="8"/>
    </row>
    <row r="14" spans="1:18" s="3" customFormat="1" ht="18">
      <c r="A14" s="23"/>
      <c r="B14" s="21"/>
      <c r="C14" s="21"/>
      <c r="D14" s="21"/>
      <c r="E14" s="23"/>
      <c r="F14" s="8"/>
    </row>
    <row r="15" spans="1:18">
      <c r="E15" s="2"/>
    </row>
    <row r="16" spans="1:18">
      <c r="B16" s="27"/>
      <c r="C16" s="27"/>
      <c r="D16" s="27"/>
      <c r="E16" s="2"/>
    </row>
    <row r="17" spans="2:5">
      <c r="B17" s="27"/>
      <c r="C17" s="27"/>
      <c r="D17" s="27"/>
      <c r="E17" s="2"/>
    </row>
    <row r="18" spans="2:5">
      <c r="B18" s="27"/>
      <c r="C18" s="27"/>
      <c r="D18" s="27"/>
      <c r="E18" s="2"/>
    </row>
    <row r="19" spans="2:5">
      <c r="E19" s="2"/>
    </row>
    <row r="20" spans="2:5">
      <c r="E20" s="2"/>
    </row>
    <row r="21" spans="2:5">
      <c r="E21" s="2"/>
    </row>
    <row r="22" spans="2:5">
      <c r="E22" s="2"/>
    </row>
    <row r="23" spans="2:5">
      <c r="E23" s="2"/>
    </row>
    <row r="24" spans="2:5">
      <c r="E24" s="2"/>
    </row>
    <row r="25" spans="2:5">
      <c r="E25" s="2"/>
    </row>
    <row r="26" spans="2:5">
      <c r="E26" s="2"/>
    </row>
    <row r="27" spans="2:5">
      <c r="E27" s="2"/>
    </row>
    <row r="28" spans="2:5">
      <c r="E28" s="2"/>
    </row>
    <row r="29" spans="2:5">
      <c r="E29" s="2"/>
    </row>
    <row r="30" spans="2:5">
      <c r="E30" s="2"/>
    </row>
    <row r="31" spans="2:5">
      <c r="E31" s="2"/>
    </row>
    <row r="32" spans="2:5">
      <c r="E32" s="2"/>
    </row>
    <row r="33" spans="5:5">
      <c r="E33" s="2"/>
    </row>
    <row r="34" spans="5:5">
      <c r="E34" s="2"/>
    </row>
    <row r="35" spans="5:5">
      <c r="E35" s="2"/>
    </row>
    <row r="36" spans="5:5">
      <c r="E36" s="2"/>
    </row>
    <row r="37" spans="5:5">
      <c r="E37" s="2"/>
    </row>
    <row r="38" spans="5:5">
      <c r="E38" s="2"/>
    </row>
    <row r="39" spans="5:5">
      <c r="E39" s="2"/>
    </row>
    <row r="40" spans="5:5">
      <c r="E40" s="2"/>
    </row>
    <row r="41" spans="5:5">
      <c r="E41" s="2"/>
    </row>
    <row r="42" spans="5:5">
      <c r="E42" s="2"/>
    </row>
    <row r="43" spans="5:5">
      <c r="E43" s="2"/>
    </row>
    <row r="44" spans="5:5">
      <c r="E44" s="2"/>
    </row>
    <row r="45" spans="5:5">
      <c r="E45" s="2"/>
    </row>
    <row r="46" spans="5:5">
      <c r="E46" s="2"/>
    </row>
    <row r="47" spans="5:5">
      <c r="E47" s="2"/>
    </row>
    <row r="48" spans="5:5">
      <c r="E48" s="2"/>
    </row>
    <row r="49" spans="5:5">
      <c r="E49" s="2"/>
    </row>
    <row r="50" spans="5:5">
      <c r="E50" s="2"/>
    </row>
    <row r="51" spans="5:5">
      <c r="E51" s="2"/>
    </row>
    <row r="52" spans="5:5">
      <c r="E52" s="2"/>
    </row>
    <row r="53" spans="5:5">
      <c r="E53" s="2"/>
    </row>
    <row r="54" spans="5:5">
      <c r="E54" s="2"/>
    </row>
    <row r="55" spans="5:5">
      <c r="E55" s="2"/>
    </row>
    <row r="56" spans="5:5">
      <c r="E56" s="2"/>
    </row>
    <row r="57" spans="5:5">
      <c r="E57" s="2"/>
    </row>
    <row r="58" spans="5:5">
      <c r="E58" s="2"/>
    </row>
    <row r="59" spans="5:5">
      <c r="E59" s="2"/>
    </row>
    <row r="60" spans="5:5">
      <c r="E60" s="2"/>
    </row>
    <row r="61" spans="5:5">
      <c r="E61" s="2"/>
    </row>
    <row r="62" spans="5:5">
      <c r="E62" s="2"/>
    </row>
    <row r="63" spans="5:5">
      <c r="E63" s="2"/>
    </row>
    <row r="64" spans="5:5">
      <c r="E64" s="2"/>
    </row>
    <row r="65" spans="5:5">
      <c r="E65" s="2"/>
    </row>
    <row r="66" spans="5:5">
      <c r="E66" s="2"/>
    </row>
    <row r="67" spans="5:5">
      <c r="E67" s="2"/>
    </row>
    <row r="68" spans="5:5">
      <c r="E68" s="2"/>
    </row>
    <row r="69" spans="5:5">
      <c r="E69" s="2"/>
    </row>
    <row r="70" spans="5:5">
      <c r="E70" s="2"/>
    </row>
    <row r="71" spans="5:5">
      <c r="E71" s="2"/>
    </row>
    <row r="72" spans="5:5">
      <c r="E72" s="2"/>
    </row>
    <row r="73" spans="5:5">
      <c r="E73" s="2"/>
    </row>
    <row r="74" spans="5:5">
      <c r="E74" s="2"/>
    </row>
    <row r="75" spans="5:5">
      <c r="E75" s="2"/>
    </row>
    <row r="76" spans="5:5">
      <c r="E76" s="2"/>
    </row>
    <row r="77" spans="5:5">
      <c r="E77" s="2"/>
    </row>
    <row r="78" spans="5:5">
      <c r="E78" s="2"/>
    </row>
    <row r="79" spans="5:5">
      <c r="E79" s="2"/>
    </row>
    <row r="80" spans="5:5">
      <c r="E80" s="2"/>
    </row>
    <row r="81" spans="5:5">
      <c r="E81" s="2"/>
    </row>
    <row r="82" spans="5:5">
      <c r="E82" s="2"/>
    </row>
    <row r="83" spans="5:5">
      <c r="E83" s="2"/>
    </row>
    <row r="84" spans="5:5">
      <c r="E84" s="2"/>
    </row>
    <row r="85" spans="5:5">
      <c r="E85" s="2"/>
    </row>
    <row r="86" spans="5:5">
      <c r="E86" s="2"/>
    </row>
    <row r="87" spans="5:5">
      <c r="E87" s="2"/>
    </row>
    <row r="88" spans="5:5">
      <c r="E88" s="2"/>
    </row>
    <row r="89" spans="5:5">
      <c r="E89" s="2"/>
    </row>
    <row r="90" spans="5:5">
      <c r="E90" s="2"/>
    </row>
    <row r="91" spans="5:5">
      <c r="E91" s="2"/>
    </row>
    <row r="92" spans="5:5">
      <c r="E92" s="2"/>
    </row>
    <row r="93" spans="5:5">
      <c r="E93" s="2"/>
    </row>
    <row r="94" spans="5:5">
      <c r="E94" s="2"/>
    </row>
    <row r="95" spans="5:5">
      <c r="E95" s="2"/>
    </row>
    <row r="96" spans="5:5">
      <c r="E96" s="2"/>
    </row>
    <row r="97" spans="5:5">
      <c r="E97" s="2"/>
    </row>
    <row r="98" spans="5:5">
      <c r="E98" s="2"/>
    </row>
    <row r="99" spans="5:5">
      <c r="E99" s="2"/>
    </row>
    <row r="100" spans="5:5">
      <c r="E100" s="2"/>
    </row>
    <row r="101" spans="5:5">
      <c r="E101" s="2"/>
    </row>
    <row r="102" spans="5:5">
      <c r="E102" s="2"/>
    </row>
    <row r="103" spans="5:5">
      <c r="E103" s="2"/>
    </row>
    <row r="104" spans="5:5">
      <c r="E104" s="2"/>
    </row>
    <row r="105" spans="5:5">
      <c r="E105" s="2"/>
    </row>
    <row r="106" spans="5:5">
      <c r="E106" s="2"/>
    </row>
    <row r="107" spans="5:5">
      <c r="E107" s="2"/>
    </row>
    <row r="108" spans="5:5">
      <c r="E108" s="2"/>
    </row>
    <row r="109" spans="5:5">
      <c r="E109" s="2"/>
    </row>
    <row r="110" spans="5:5">
      <c r="E110" s="2"/>
    </row>
    <row r="111" spans="5:5">
      <c r="E111" s="2"/>
    </row>
    <row r="112" spans="5:5">
      <c r="E112" s="2"/>
    </row>
    <row r="113" spans="5:5">
      <c r="E113" s="2"/>
    </row>
    <row r="114" spans="5:5">
      <c r="E114" s="2"/>
    </row>
    <row r="115" spans="5:5">
      <c r="E115" s="2"/>
    </row>
    <row r="116" spans="5:5">
      <c r="E116" s="2"/>
    </row>
    <row r="117" spans="5:5">
      <c r="E117" s="2"/>
    </row>
    <row r="118" spans="5:5">
      <c r="E118" s="2"/>
    </row>
    <row r="119" spans="5:5">
      <c r="E119" s="2"/>
    </row>
  </sheetData>
  <mergeCells count="1">
    <mergeCell ref="F4:F5"/>
  </mergeCells>
  <phoneticPr fontId="11" type="noConversion"/>
  <conditionalFormatting sqref="A4 A6:A119">
    <cfRule type="cellIs" dxfId="15" priority="13" stopIfTrue="1" operator="equal">
      <formula>"1 - Immediate"</formula>
    </cfRule>
    <cfRule type="containsText" dxfId="14" priority="14" stopIfTrue="1" operator="containsText" text="2 - High">
      <formula>NOT(ISERROR(SEARCH("2 - High", A4)))</formula>
    </cfRule>
    <cfRule type="containsText" dxfId="13" priority="15" stopIfTrue="1" operator="containsText" text="3 - Medium">
      <formula>NOT(ISERROR(SEARCH("3 - Medium", A4)))</formula>
    </cfRule>
    <cfRule type="containsText" dxfId="12" priority="16" stopIfTrue="1" operator="containsText" text="4 - Nice to have">
      <formula>NOT(ISERROR(SEARCH("4 - Nice to have", A4)))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9"/>
  <sheetViews>
    <sheetView topLeftCell="B2" zoomScale="170" zoomScaleNormal="170" workbookViewId="0">
      <selection activeCell="C12" sqref="C12"/>
    </sheetView>
  </sheetViews>
  <sheetFormatPr defaultColWidth="17.140625" defaultRowHeight="12.75" customHeight="1"/>
  <cols>
    <col min="1" max="1" width="32.42578125" style="1" customWidth="1"/>
    <col min="2" max="2" width="68.85546875" style="1" customWidth="1"/>
    <col min="3" max="3" width="92.28515625" style="1" customWidth="1"/>
    <col min="4" max="4" width="36.140625" style="1" customWidth="1"/>
    <col min="5" max="5" width="47.140625" style="1" customWidth="1"/>
    <col min="6" max="6" width="34.28515625" style="1" customWidth="1"/>
    <col min="7" max="7" width="37.42578125" style="1" customWidth="1"/>
    <col min="8" max="16384" width="17.140625" style="1"/>
  </cols>
  <sheetData>
    <row r="1" spans="1:19" s="3" customFormat="1" ht="18">
      <c r="A1" s="8"/>
      <c r="B1" s="8"/>
      <c r="C1" s="8"/>
      <c r="D1" s="8"/>
      <c r="E1" s="8"/>
      <c r="F1" s="9"/>
      <c r="G1" s="8"/>
    </row>
    <row r="2" spans="1:19" s="3" customFormat="1" ht="95.1">
      <c r="A2" s="8"/>
      <c r="B2" s="20" t="s">
        <v>23</v>
      </c>
      <c r="C2" s="26" t="s">
        <v>24</v>
      </c>
      <c r="D2" s="8"/>
      <c r="E2" s="8"/>
      <c r="F2" s="9"/>
      <c r="G2" s="8"/>
    </row>
    <row r="3" spans="1:19" s="3" customFormat="1" ht="18">
      <c r="A3" s="8"/>
      <c r="B3" s="15"/>
      <c r="C3" s="14"/>
      <c r="D3" s="14"/>
      <c r="E3" s="8"/>
      <c r="F3" s="9"/>
      <c r="G3" s="8"/>
    </row>
    <row r="4" spans="1:19" s="3" customFormat="1" ht="23.1">
      <c r="A4" s="8"/>
      <c r="B4" s="17"/>
      <c r="C4" s="26" t="s">
        <v>25</v>
      </c>
      <c r="F4" s="9"/>
      <c r="G4" s="8"/>
    </row>
    <row r="5" spans="1:19" s="3" customFormat="1" ht="18">
      <c r="A5" s="8"/>
      <c r="B5" s="15"/>
      <c r="C5" s="16"/>
      <c r="D5" s="16"/>
      <c r="E5" s="16"/>
      <c r="F5" s="9"/>
      <c r="G5" s="8"/>
    </row>
    <row r="6" spans="1:19" s="3" customFormat="1" ht="18">
      <c r="A6" s="8"/>
      <c r="B6" s="15"/>
      <c r="C6" s="16"/>
      <c r="D6" s="16"/>
      <c r="E6" s="16"/>
      <c r="F6" s="9"/>
      <c r="G6" s="8"/>
    </row>
    <row r="7" spans="1:19" s="3" customFormat="1" ht="18">
      <c r="A7" s="8"/>
      <c r="B7" s="8"/>
      <c r="C7" s="8"/>
      <c r="D7" s="8"/>
      <c r="E7" s="8"/>
      <c r="F7" s="9"/>
      <c r="G7" s="8"/>
    </row>
    <row r="8" spans="1:19" s="3" customFormat="1" ht="96">
      <c r="A8" s="17" t="s">
        <v>26</v>
      </c>
      <c r="B8" s="4" t="s">
        <v>27</v>
      </c>
      <c r="C8" s="17"/>
      <c r="D8" s="17" t="s">
        <v>28</v>
      </c>
      <c r="E8" s="8"/>
      <c r="G8" s="8"/>
    </row>
    <row r="9" spans="1:19" s="6" customFormat="1" ht="18.95">
      <c r="A9" s="10"/>
      <c r="B9" s="10" t="s">
        <v>3</v>
      </c>
      <c r="C9" s="10" t="s">
        <v>29</v>
      </c>
      <c r="D9" s="10" t="s">
        <v>30</v>
      </c>
      <c r="E9" s="10" t="s">
        <v>31</v>
      </c>
      <c r="G9" s="4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s="8" customFormat="1" ht="33.75" customHeight="1">
      <c r="A10" s="8" t="str">
        <f>'Product Backlog'!A5</f>
        <v>HU-01</v>
      </c>
      <c r="B10" s="45" t="str">
        <f>'Product Backlog'!B5</f>
        <v>Como visitante del sistema, quiero crear una cuenta proporcionando mis datos personales y credenciales, para acceder a las funcionalidades disponibles para usuarios registrados.</v>
      </c>
      <c r="C10" s="13" t="s">
        <v>32</v>
      </c>
      <c r="D10" s="7">
        <v>20</v>
      </c>
      <c r="E10" s="11" t="s">
        <v>33</v>
      </c>
      <c r="G10" s="44"/>
    </row>
    <row r="11" spans="1:19" s="8" customFormat="1" ht="18.95">
      <c r="B11" s="46"/>
      <c r="C11" s="13" t="s">
        <v>34</v>
      </c>
      <c r="D11" s="7">
        <v>40</v>
      </c>
      <c r="E11" s="11" t="s">
        <v>33</v>
      </c>
    </row>
    <row r="12" spans="1:19" s="8" customFormat="1" ht="18.95">
      <c r="B12" s="46"/>
      <c r="C12" s="13" t="s">
        <v>35</v>
      </c>
      <c r="D12" s="7">
        <v>20</v>
      </c>
      <c r="E12" s="11" t="s">
        <v>33</v>
      </c>
    </row>
    <row r="13" spans="1:19" s="8" customFormat="1" ht="18.95">
      <c r="B13" s="46"/>
      <c r="C13" s="13" t="s">
        <v>36</v>
      </c>
      <c r="D13" s="7">
        <v>10</v>
      </c>
      <c r="E13" s="11" t="s">
        <v>33</v>
      </c>
    </row>
    <row r="14" spans="1:19" s="8" customFormat="1" ht="21" customHeight="1">
      <c r="B14" s="47"/>
      <c r="C14" s="25" t="s">
        <v>37</v>
      </c>
      <c r="D14" s="24">
        <f>D10+D11+D12+D13</f>
        <v>90</v>
      </c>
      <c r="E14" s="11"/>
    </row>
    <row r="15" spans="1:19" s="8" customFormat="1" ht="33.75" customHeight="1">
      <c r="A15" s="8" t="str">
        <f>'Product Backlog'!A6</f>
        <v>HU-02</v>
      </c>
      <c r="B15" s="45" t="str">
        <f>'Product Backlog'!B6</f>
        <v>Como usuario registrado, quiero iniciar sesión mediante mi correo y contraseña, para acceder a un área privada del sistema.</v>
      </c>
      <c r="C15" s="13" t="s">
        <v>32</v>
      </c>
      <c r="D15" s="7">
        <v>20</v>
      </c>
      <c r="E15" s="11" t="s">
        <v>33</v>
      </c>
    </row>
    <row r="16" spans="1:19" s="8" customFormat="1" ht="18.95">
      <c r="B16" s="46"/>
      <c r="C16" s="13" t="s">
        <v>34</v>
      </c>
      <c r="D16" s="7">
        <v>40</v>
      </c>
      <c r="E16" s="11" t="s">
        <v>33</v>
      </c>
    </row>
    <row r="17" spans="2:6" s="8" customFormat="1" ht="18.95">
      <c r="B17" s="46"/>
      <c r="C17" s="13" t="s">
        <v>35</v>
      </c>
      <c r="D17" s="7">
        <v>20</v>
      </c>
      <c r="E17" s="11" t="s">
        <v>33</v>
      </c>
    </row>
    <row r="18" spans="2:6" s="8" customFormat="1" ht="18.95">
      <c r="B18" s="46"/>
      <c r="C18" s="13" t="s">
        <v>36</v>
      </c>
      <c r="D18" s="7">
        <v>10</v>
      </c>
      <c r="E18" s="11" t="s">
        <v>33</v>
      </c>
    </row>
    <row r="19" spans="2:6" s="8" customFormat="1" ht="21" customHeight="1">
      <c r="B19" s="47"/>
      <c r="C19" s="25" t="s">
        <v>37</v>
      </c>
      <c r="D19" s="24">
        <f>D15+D16+D17+D18</f>
        <v>90</v>
      </c>
      <c r="E19" s="11"/>
    </row>
    <row r="20" spans="2:6" s="8" customFormat="1" ht="18">
      <c r="F20" s="9"/>
    </row>
    <row r="21" spans="2:6" ht="12.95">
      <c r="F21" s="2"/>
    </row>
    <row r="22" spans="2:6" ht="12.95">
      <c r="F22" s="2"/>
    </row>
    <row r="23" spans="2:6" ht="12.95">
      <c r="F23" s="2"/>
    </row>
    <row r="24" spans="2:6" ht="12.95">
      <c r="F24" s="2"/>
    </row>
    <row r="25" spans="2:6" ht="12.95">
      <c r="F25" s="2"/>
    </row>
    <row r="26" spans="2:6" ht="12.95">
      <c r="F26" s="2"/>
    </row>
    <row r="27" spans="2:6" ht="12.95">
      <c r="F27" s="2"/>
    </row>
    <row r="28" spans="2:6" ht="12.95">
      <c r="F28" s="2"/>
    </row>
    <row r="29" spans="2:6" ht="12.95">
      <c r="F29" s="2"/>
    </row>
    <row r="30" spans="2:6" ht="12.95">
      <c r="F30" s="2"/>
    </row>
    <row r="31" spans="2:6" ht="12.95">
      <c r="F31" s="2"/>
    </row>
    <row r="32" spans="2:6" ht="12.95">
      <c r="F32" s="2"/>
    </row>
    <row r="33" spans="6:6" ht="12.95">
      <c r="F33" s="2"/>
    </row>
    <row r="34" spans="6:6" ht="12.95">
      <c r="F34" s="2"/>
    </row>
    <row r="35" spans="6:6" ht="12.95">
      <c r="F35" s="2"/>
    </row>
    <row r="36" spans="6:6" ht="12.95">
      <c r="F36" s="2"/>
    </row>
    <row r="37" spans="6:6" ht="12.95">
      <c r="F37" s="2"/>
    </row>
    <row r="38" spans="6:6" ht="12.95">
      <c r="F38" s="2"/>
    </row>
    <row r="39" spans="6:6" ht="12.95">
      <c r="F39" s="2"/>
    </row>
    <row r="40" spans="6:6" ht="12.95">
      <c r="F40" s="2"/>
    </row>
    <row r="41" spans="6:6" ht="12.95">
      <c r="F41" s="2"/>
    </row>
    <row r="42" spans="6:6" ht="12.95">
      <c r="F42" s="2"/>
    </row>
    <row r="43" spans="6:6" ht="12.95">
      <c r="F43" s="2"/>
    </row>
    <row r="44" spans="6:6" ht="12.95">
      <c r="F44" s="2"/>
    </row>
    <row r="45" spans="6:6" ht="12.95">
      <c r="F45" s="2"/>
    </row>
    <row r="46" spans="6:6" ht="12.95">
      <c r="F46" s="2"/>
    </row>
    <row r="47" spans="6:6" ht="12.95">
      <c r="F47" s="2"/>
    </row>
    <row r="48" spans="6:6" ht="12.95">
      <c r="F48" s="2"/>
    </row>
    <row r="49" spans="6:6" ht="12.95">
      <c r="F49" s="2"/>
    </row>
    <row r="50" spans="6:6" ht="12.95">
      <c r="F50" s="2"/>
    </row>
    <row r="51" spans="6:6" ht="12.95">
      <c r="F51" s="2"/>
    </row>
    <row r="52" spans="6:6" ht="12.95">
      <c r="F52" s="2"/>
    </row>
    <row r="53" spans="6:6" ht="12.95">
      <c r="F53" s="2"/>
    </row>
    <row r="54" spans="6:6" ht="12.95">
      <c r="F54" s="2"/>
    </row>
    <row r="55" spans="6:6" ht="12.95">
      <c r="F55" s="2"/>
    </row>
    <row r="56" spans="6:6" ht="12.95">
      <c r="F56" s="2"/>
    </row>
    <row r="57" spans="6:6" ht="12.95">
      <c r="F57" s="2"/>
    </row>
    <row r="58" spans="6:6" ht="12.95">
      <c r="F58" s="2"/>
    </row>
    <row r="59" spans="6:6" ht="12.95">
      <c r="F59" s="2"/>
    </row>
    <row r="60" spans="6:6" ht="12.95">
      <c r="F60" s="2"/>
    </row>
    <row r="61" spans="6:6" ht="12.95">
      <c r="F61" s="2"/>
    </row>
    <row r="62" spans="6:6" ht="12.95">
      <c r="F62" s="2"/>
    </row>
    <row r="63" spans="6:6" ht="12.95">
      <c r="F63" s="2"/>
    </row>
    <row r="64" spans="6:6" ht="12.95">
      <c r="F64" s="2"/>
    </row>
    <row r="65" spans="6:6" ht="12.95">
      <c r="F65" s="2"/>
    </row>
    <row r="66" spans="6:6" ht="12.95">
      <c r="F66" s="2"/>
    </row>
    <row r="67" spans="6:6" ht="12.95">
      <c r="F67" s="2"/>
    </row>
    <row r="68" spans="6:6" ht="12.95">
      <c r="F68" s="2"/>
    </row>
    <row r="69" spans="6:6" ht="12.95">
      <c r="F69" s="2"/>
    </row>
    <row r="70" spans="6:6" ht="12.95">
      <c r="F70" s="2"/>
    </row>
    <row r="71" spans="6:6" ht="12.95">
      <c r="F71" s="2"/>
    </row>
    <row r="72" spans="6:6" ht="12.95">
      <c r="F72" s="2"/>
    </row>
    <row r="73" spans="6:6" ht="12.95">
      <c r="F73" s="2"/>
    </row>
    <row r="74" spans="6:6" ht="12.95">
      <c r="F74" s="2"/>
    </row>
    <row r="75" spans="6:6" ht="12.95">
      <c r="F75" s="2"/>
    </row>
    <row r="76" spans="6:6" ht="12.95">
      <c r="F76" s="2"/>
    </row>
    <row r="77" spans="6:6" ht="12.95">
      <c r="F77" s="2"/>
    </row>
    <row r="78" spans="6:6" ht="12.95">
      <c r="F78" s="2"/>
    </row>
    <row r="79" spans="6:6" ht="12.95">
      <c r="F79" s="2"/>
    </row>
  </sheetData>
  <mergeCells count="3">
    <mergeCell ref="G9:G10"/>
    <mergeCell ref="B10:B14"/>
    <mergeCell ref="B15:B19"/>
  </mergeCells>
  <conditionalFormatting sqref="A1:A7 A9:A79">
    <cfRule type="cellIs" dxfId="11" priority="89" stopIfTrue="1" operator="equal">
      <formula>"1 - Immediate"</formula>
    </cfRule>
    <cfRule type="containsText" dxfId="10" priority="90" stopIfTrue="1" operator="containsText" text="2 - High">
      <formula>NOT(ISERROR(SEARCH("2 - High", A1)))</formula>
    </cfRule>
    <cfRule type="containsText" dxfId="9" priority="91" stopIfTrue="1" operator="containsText" text="3 - Medium">
      <formula>NOT(ISERROR(SEARCH("3 - Medium", A1)))</formula>
    </cfRule>
    <cfRule type="containsText" dxfId="8" priority="92" stopIfTrue="1" operator="containsText" text="4 - Nice to have">
      <formula>NOT(ISERROR(SEARCH("4 - Nice to have", A1)))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70DB-A924-45AD-AED7-D236441AB378}">
  <dimension ref="A1:S119"/>
  <sheetViews>
    <sheetView zoomScale="80" zoomScaleNormal="80" workbookViewId="0">
      <selection activeCell="A6" sqref="A6"/>
    </sheetView>
  </sheetViews>
  <sheetFormatPr defaultColWidth="17.140625" defaultRowHeight="12.95"/>
  <cols>
    <col min="1" max="1" width="32.42578125" style="1" customWidth="1"/>
    <col min="2" max="2" width="68.85546875" style="1" customWidth="1"/>
    <col min="3" max="3" width="92.28515625" style="1" customWidth="1"/>
    <col min="4" max="4" width="36.140625" style="1" customWidth="1"/>
    <col min="5" max="5" width="67.140625" style="1" customWidth="1"/>
    <col min="6" max="6" width="34.28515625" style="1" customWidth="1"/>
    <col min="7" max="7" width="37.42578125" style="1" customWidth="1"/>
    <col min="8" max="16384" width="17.140625" style="1"/>
  </cols>
  <sheetData>
    <row r="1" spans="1:19" s="3" customFormat="1" ht="18">
      <c r="A1" s="8"/>
      <c r="B1" s="8"/>
      <c r="C1" s="8"/>
      <c r="D1" s="8"/>
      <c r="E1" s="8"/>
      <c r="F1" s="9"/>
      <c r="G1" s="8"/>
    </row>
    <row r="2" spans="1:19" s="3" customFormat="1" ht="36">
      <c r="A2" s="8"/>
      <c r="B2" s="20" t="s">
        <v>38</v>
      </c>
      <c r="C2" s="21" t="s">
        <v>39</v>
      </c>
      <c r="D2" s="8"/>
      <c r="E2" s="8"/>
      <c r="F2" s="9"/>
      <c r="G2" s="8"/>
    </row>
    <row r="3" spans="1:19" s="3" customFormat="1" ht="18">
      <c r="A3" s="8"/>
      <c r="B3" s="15"/>
      <c r="C3" s="14"/>
      <c r="D3" s="14"/>
      <c r="E3" s="8"/>
      <c r="F3" s="9"/>
      <c r="G3" s="8"/>
    </row>
    <row r="4" spans="1:19" s="3" customFormat="1" ht="23.1">
      <c r="A4" s="8"/>
      <c r="B4" s="17"/>
      <c r="C4" s="21" t="s">
        <v>40</v>
      </c>
      <c r="F4" s="9"/>
      <c r="G4" s="8"/>
    </row>
    <row r="5" spans="1:19" s="3" customFormat="1" ht="18">
      <c r="A5" s="8"/>
      <c r="B5" s="15"/>
      <c r="C5" s="16"/>
      <c r="D5" s="16"/>
      <c r="E5" s="16"/>
      <c r="F5" s="9"/>
      <c r="G5" s="8"/>
    </row>
    <row r="6" spans="1:19" s="3" customFormat="1" ht="18">
      <c r="A6" s="8"/>
      <c r="B6" s="15"/>
      <c r="C6" s="16"/>
      <c r="D6" s="16"/>
      <c r="E6" s="16"/>
      <c r="F6" s="9"/>
      <c r="G6" s="8"/>
    </row>
    <row r="7" spans="1:19" s="3" customFormat="1" ht="18">
      <c r="A7" s="8"/>
      <c r="B7" s="8"/>
      <c r="C7" s="8"/>
      <c r="D7" s="8"/>
      <c r="E7" s="8"/>
      <c r="F7" s="9"/>
      <c r="G7" s="8"/>
    </row>
    <row r="8" spans="1:19" s="3" customFormat="1" ht="96">
      <c r="A8" s="17" t="s">
        <v>26</v>
      </c>
      <c r="B8" s="4" t="s">
        <v>41</v>
      </c>
      <c r="C8" s="17"/>
      <c r="D8" s="17" t="s">
        <v>28</v>
      </c>
      <c r="E8" s="8"/>
      <c r="G8" s="8"/>
    </row>
    <row r="9" spans="1:19" s="6" customFormat="1" ht="18.95">
      <c r="A9" s="10"/>
      <c r="B9" s="10" t="s">
        <v>3</v>
      </c>
      <c r="C9" s="10" t="s">
        <v>29</v>
      </c>
      <c r="D9" s="10" t="s">
        <v>30</v>
      </c>
      <c r="E9" s="10" t="s">
        <v>42</v>
      </c>
      <c r="G9" s="4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s="8" customFormat="1" ht="33.75" customHeight="1">
      <c r="B10" s="45" t="s">
        <v>43</v>
      </c>
      <c r="C10" s="13" t="s">
        <v>44</v>
      </c>
      <c r="D10" s="7">
        <v>0</v>
      </c>
      <c r="E10" s="11"/>
      <c r="G10" s="44"/>
    </row>
    <row r="11" spans="1:19" s="8" customFormat="1" ht="18.95">
      <c r="B11" s="46"/>
      <c r="C11" s="13" t="s">
        <v>45</v>
      </c>
      <c r="D11" s="7"/>
      <c r="E11" s="11"/>
    </row>
    <row r="12" spans="1:19" s="8" customFormat="1" ht="18.95">
      <c r="B12" s="46"/>
      <c r="C12" s="13" t="s">
        <v>46</v>
      </c>
      <c r="D12" s="7"/>
      <c r="E12" s="11"/>
    </row>
    <row r="13" spans="1:19" s="8" customFormat="1" ht="18.95">
      <c r="B13" s="46"/>
      <c r="C13" s="13" t="s">
        <v>47</v>
      </c>
      <c r="D13" s="7"/>
      <c r="E13" s="11"/>
    </row>
    <row r="14" spans="1:19" s="8" customFormat="1" ht="21" customHeight="1">
      <c r="B14" s="47"/>
      <c r="C14" s="25" t="s">
        <v>37</v>
      </c>
      <c r="D14" s="24">
        <f>D10+D11+D12+D13</f>
        <v>0</v>
      </c>
      <c r="E14" s="12"/>
    </row>
    <row r="15" spans="1:19" s="8" customFormat="1" ht="33.75" customHeight="1">
      <c r="B15" s="45" t="s">
        <v>48</v>
      </c>
      <c r="C15" s="13" t="s">
        <v>44</v>
      </c>
      <c r="D15" s="7">
        <v>0</v>
      </c>
      <c r="E15" s="11"/>
    </row>
    <row r="16" spans="1:19" s="8" customFormat="1" ht="18.95">
      <c r="B16" s="46"/>
      <c r="C16" s="13" t="s">
        <v>45</v>
      </c>
      <c r="D16" s="7"/>
      <c r="E16" s="11"/>
    </row>
    <row r="17" spans="2:5" s="8" customFormat="1" ht="18.95">
      <c r="B17" s="46"/>
      <c r="C17" s="13" t="s">
        <v>46</v>
      </c>
      <c r="D17" s="7"/>
      <c r="E17" s="11"/>
    </row>
    <row r="18" spans="2:5" s="8" customFormat="1" ht="18.95">
      <c r="B18" s="46"/>
      <c r="C18" s="13" t="s">
        <v>47</v>
      </c>
      <c r="D18" s="7"/>
      <c r="E18" s="11"/>
    </row>
    <row r="19" spans="2:5" s="8" customFormat="1" ht="21" customHeight="1">
      <c r="B19" s="47"/>
      <c r="C19" s="25" t="s">
        <v>37</v>
      </c>
      <c r="D19" s="24">
        <f>D15+D16+D17+D18</f>
        <v>0</v>
      </c>
      <c r="E19" s="12"/>
    </row>
    <row r="20" spans="2:5" s="8" customFormat="1" ht="33.75" customHeight="1">
      <c r="B20" s="45" t="s">
        <v>48</v>
      </c>
      <c r="C20" s="13" t="s">
        <v>44</v>
      </c>
      <c r="D20" s="7">
        <v>0</v>
      </c>
      <c r="E20" s="11"/>
    </row>
    <row r="21" spans="2:5" s="8" customFormat="1" ht="18.95">
      <c r="B21" s="46"/>
      <c r="C21" s="13" t="s">
        <v>45</v>
      </c>
      <c r="D21" s="7"/>
      <c r="E21" s="11"/>
    </row>
    <row r="22" spans="2:5" s="8" customFormat="1" ht="18.95">
      <c r="B22" s="46"/>
      <c r="C22" s="13" t="s">
        <v>46</v>
      </c>
      <c r="D22" s="7"/>
      <c r="E22" s="11"/>
    </row>
    <row r="23" spans="2:5" s="8" customFormat="1" ht="18.95">
      <c r="B23" s="46"/>
      <c r="C23" s="13" t="s">
        <v>47</v>
      </c>
      <c r="D23" s="7"/>
      <c r="E23" s="11"/>
    </row>
    <row r="24" spans="2:5" s="8" customFormat="1" ht="21" customHeight="1">
      <c r="B24" s="47"/>
      <c r="C24" s="25" t="s">
        <v>37</v>
      </c>
      <c r="D24" s="24">
        <f>D20+D21+D22+D23</f>
        <v>0</v>
      </c>
      <c r="E24" s="12"/>
    </row>
    <row r="25" spans="2:5" s="8" customFormat="1" ht="33.75" customHeight="1">
      <c r="B25" s="45" t="s">
        <v>48</v>
      </c>
      <c r="C25" s="13" t="s">
        <v>44</v>
      </c>
      <c r="D25" s="7">
        <v>0</v>
      </c>
      <c r="E25" s="11"/>
    </row>
    <row r="26" spans="2:5" s="8" customFormat="1" ht="18.95">
      <c r="B26" s="46"/>
      <c r="C26" s="13" t="s">
        <v>45</v>
      </c>
      <c r="D26" s="7"/>
      <c r="E26" s="11"/>
    </row>
    <row r="27" spans="2:5" s="8" customFormat="1" ht="18.95">
      <c r="B27" s="46"/>
      <c r="C27" s="13" t="s">
        <v>46</v>
      </c>
      <c r="D27" s="7"/>
      <c r="E27" s="11"/>
    </row>
    <row r="28" spans="2:5" s="8" customFormat="1" ht="18.95">
      <c r="B28" s="46"/>
      <c r="C28" s="13" t="s">
        <v>47</v>
      </c>
      <c r="D28" s="7"/>
      <c r="E28" s="11"/>
    </row>
    <row r="29" spans="2:5" s="8" customFormat="1" ht="21" customHeight="1">
      <c r="B29" s="47"/>
      <c r="C29" s="25" t="s">
        <v>37</v>
      </c>
      <c r="D29" s="24">
        <f>D25+D26+D27+D28</f>
        <v>0</v>
      </c>
      <c r="E29" s="12"/>
    </row>
    <row r="30" spans="2:5" s="8" customFormat="1" ht="33.75" customHeight="1">
      <c r="B30" s="45" t="s">
        <v>48</v>
      </c>
      <c r="C30" s="13" t="s">
        <v>44</v>
      </c>
      <c r="D30" s="7">
        <v>0</v>
      </c>
      <c r="E30" s="11"/>
    </row>
    <row r="31" spans="2:5" s="8" customFormat="1" ht="18.95">
      <c r="B31" s="46"/>
      <c r="C31" s="13" t="s">
        <v>45</v>
      </c>
      <c r="D31" s="7"/>
      <c r="E31" s="11"/>
    </row>
    <row r="32" spans="2:5" s="8" customFormat="1" ht="18.95">
      <c r="B32" s="46"/>
      <c r="C32" s="13" t="s">
        <v>46</v>
      </c>
      <c r="D32" s="7"/>
      <c r="E32" s="11"/>
    </row>
    <row r="33" spans="2:5" s="8" customFormat="1" ht="18.95">
      <c r="B33" s="46"/>
      <c r="C33" s="13" t="s">
        <v>47</v>
      </c>
      <c r="D33" s="7"/>
      <c r="E33" s="11"/>
    </row>
    <row r="34" spans="2:5" s="8" customFormat="1" ht="21" customHeight="1">
      <c r="B34" s="47"/>
      <c r="C34" s="25" t="s">
        <v>37</v>
      </c>
      <c r="D34" s="24">
        <f>D30+D31+D32+D33</f>
        <v>0</v>
      </c>
      <c r="E34" s="12"/>
    </row>
    <row r="35" spans="2:5" s="8" customFormat="1" ht="33.75" customHeight="1">
      <c r="B35" s="45" t="s">
        <v>48</v>
      </c>
      <c r="C35" s="13" t="s">
        <v>44</v>
      </c>
      <c r="D35" s="7">
        <v>0</v>
      </c>
      <c r="E35" s="11"/>
    </row>
    <row r="36" spans="2:5" s="8" customFormat="1" ht="18.95">
      <c r="B36" s="46"/>
      <c r="C36" s="13" t="s">
        <v>45</v>
      </c>
      <c r="D36" s="7"/>
      <c r="E36" s="11"/>
    </row>
    <row r="37" spans="2:5" s="8" customFormat="1" ht="18.95">
      <c r="B37" s="46"/>
      <c r="C37" s="13" t="s">
        <v>46</v>
      </c>
      <c r="D37" s="7"/>
      <c r="E37" s="11"/>
    </row>
    <row r="38" spans="2:5" s="8" customFormat="1" ht="18.95">
      <c r="B38" s="46"/>
      <c r="C38" s="13" t="s">
        <v>47</v>
      </c>
      <c r="D38" s="7"/>
      <c r="E38" s="11"/>
    </row>
    <row r="39" spans="2:5" s="8" customFormat="1" ht="21" customHeight="1">
      <c r="B39" s="47"/>
      <c r="C39" s="25" t="s">
        <v>37</v>
      </c>
      <c r="D39" s="24">
        <f>D35+D36+D37+D38</f>
        <v>0</v>
      </c>
      <c r="E39" s="12"/>
    </row>
    <row r="40" spans="2:5" s="8" customFormat="1" ht="33.75" customHeight="1">
      <c r="B40" s="45" t="s">
        <v>48</v>
      </c>
      <c r="C40" s="13" t="s">
        <v>44</v>
      </c>
      <c r="D40" s="7">
        <v>0</v>
      </c>
      <c r="E40" s="11"/>
    </row>
    <row r="41" spans="2:5" s="8" customFormat="1" ht="18.95">
      <c r="B41" s="46"/>
      <c r="C41" s="13" t="s">
        <v>45</v>
      </c>
      <c r="D41" s="7"/>
      <c r="E41" s="11"/>
    </row>
    <row r="42" spans="2:5" s="8" customFormat="1" ht="18.95">
      <c r="B42" s="46"/>
      <c r="C42" s="13" t="s">
        <v>46</v>
      </c>
      <c r="D42" s="7"/>
      <c r="E42" s="11"/>
    </row>
    <row r="43" spans="2:5" s="8" customFormat="1" ht="18.95">
      <c r="B43" s="46"/>
      <c r="C43" s="13" t="s">
        <v>47</v>
      </c>
      <c r="D43" s="7"/>
      <c r="E43" s="11"/>
    </row>
    <row r="44" spans="2:5" s="8" customFormat="1" ht="21" customHeight="1">
      <c r="B44" s="47"/>
      <c r="C44" s="25" t="s">
        <v>37</v>
      </c>
      <c r="D44" s="24">
        <f>D40+D41+D42+D43</f>
        <v>0</v>
      </c>
      <c r="E44" s="12"/>
    </row>
    <row r="45" spans="2:5" s="8" customFormat="1" ht="33.75" customHeight="1">
      <c r="B45" s="45" t="s">
        <v>48</v>
      </c>
      <c r="C45" s="13" t="s">
        <v>44</v>
      </c>
      <c r="D45" s="7">
        <v>0</v>
      </c>
      <c r="E45" s="11"/>
    </row>
    <row r="46" spans="2:5" s="8" customFormat="1" ht="18.95">
      <c r="B46" s="46"/>
      <c r="C46" s="13" t="s">
        <v>45</v>
      </c>
      <c r="D46" s="7"/>
      <c r="E46" s="11"/>
    </row>
    <row r="47" spans="2:5" s="8" customFormat="1" ht="18.95">
      <c r="B47" s="46"/>
      <c r="C47" s="13" t="s">
        <v>46</v>
      </c>
      <c r="D47" s="7"/>
      <c r="E47" s="11"/>
    </row>
    <row r="48" spans="2:5" s="8" customFormat="1" ht="18.95">
      <c r="B48" s="46"/>
      <c r="C48" s="13" t="s">
        <v>47</v>
      </c>
      <c r="D48" s="7"/>
      <c r="E48" s="11"/>
    </row>
    <row r="49" spans="2:6" s="8" customFormat="1" ht="21" customHeight="1">
      <c r="B49" s="47"/>
      <c r="C49" s="25" t="s">
        <v>37</v>
      </c>
      <c r="D49" s="24">
        <f>D45+D46+D47+D48</f>
        <v>0</v>
      </c>
      <c r="E49" s="12"/>
    </row>
    <row r="50" spans="2:6" s="8" customFormat="1" ht="33.75" customHeight="1">
      <c r="B50" s="45" t="s">
        <v>48</v>
      </c>
      <c r="C50" s="13" t="s">
        <v>44</v>
      </c>
      <c r="D50" s="7">
        <v>0</v>
      </c>
      <c r="E50" s="11"/>
    </row>
    <row r="51" spans="2:6" s="8" customFormat="1" ht="18.95">
      <c r="B51" s="46"/>
      <c r="C51" s="13" t="s">
        <v>45</v>
      </c>
      <c r="D51" s="7"/>
      <c r="E51" s="11"/>
    </row>
    <row r="52" spans="2:6" s="8" customFormat="1" ht="18.95">
      <c r="B52" s="46"/>
      <c r="C52" s="13" t="s">
        <v>46</v>
      </c>
      <c r="D52" s="7"/>
      <c r="E52" s="11"/>
    </row>
    <row r="53" spans="2:6" s="8" customFormat="1" ht="18.95">
      <c r="B53" s="46"/>
      <c r="C53" s="13" t="s">
        <v>47</v>
      </c>
      <c r="D53" s="7"/>
      <c r="E53" s="11"/>
    </row>
    <row r="54" spans="2:6" s="8" customFormat="1" ht="21" customHeight="1">
      <c r="B54" s="47"/>
      <c r="C54" s="25" t="s">
        <v>37</v>
      </c>
      <c r="D54" s="24">
        <f>D50+D51+D52+D53</f>
        <v>0</v>
      </c>
      <c r="E54" s="12"/>
    </row>
    <row r="55" spans="2:6" s="8" customFormat="1" ht="33.75" customHeight="1">
      <c r="B55" s="45" t="s">
        <v>48</v>
      </c>
      <c r="C55" s="13" t="s">
        <v>44</v>
      </c>
      <c r="D55" s="7">
        <v>0</v>
      </c>
      <c r="E55" s="11"/>
    </row>
    <row r="56" spans="2:6" s="8" customFormat="1" ht="18.95">
      <c r="B56" s="46"/>
      <c r="C56" s="13" t="s">
        <v>45</v>
      </c>
      <c r="D56" s="7"/>
      <c r="E56" s="11"/>
    </row>
    <row r="57" spans="2:6" s="8" customFormat="1" ht="18.95">
      <c r="B57" s="46"/>
      <c r="C57" s="13" t="s">
        <v>46</v>
      </c>
      <c r="D57" s="7"/>
      <c r="E57" s="11"/>
    </row>
    <row r="58" spans="2:6" s="8" customFormat="1" ht="18.95">
      <c r="B58" s="46"/>
      <c r="C58" s="13" t="s">
        <v>47</v>
      </c>
      <c r="D58" s="7"/>
      <c r="E58" s="11"/>
    </row>
    <row r="59" spans="2:6" s="8" customFormat="1" ht="21" customHeight="1">
      <c r="B59" s="47"/>
      <c r="C59" s="25" t="s">
        <v>37</v>
      </c>
      <c r="D59" s="24">
        <f>D55+D56+D57+D58</f>
        <v>0</v>
      </c>
      <c r="E59" s="12"/>
    </row>
    <row r="60" spans="2:6" s="8" customFormat="1" ht="18">
      <c r="F60" s="9"/>
    </row>
    <row r="61" spans="2:6">
      <c r="F61" s="2"/>
    </row>
    <row r="62" spans="2:6">
      <c r="F62" s="2"/>
    </row>
    <row r="63" spans="2:6">
      <c r="F63" s="2"/>
    </row>
    <row r="64" spans="2:6">
      <c r="F64" s="2"/>
    </row>
    <row r="65" spans="6:6">
      <c r="F65" s="2"/>
    </row>
    <row r="66" spans="6:6">
      <c r="F66" s="2"/>
    </row>
    <row r="67" spans="6:6">
      <c r="F67" s="2"/>
    </row>
    <row r="68" spans="6:6">
      <c r="F68" s="2"/>
    </row>
    <row r="69" spans="6:6">
      <c r="F69" s="2"/>
    </row>
    <row r="70" spans="6:6">
      <c r="F70" s="2"/>
    </row>
    <row r="71" spans="6:6">
      <c r="F71" s="2"/>
    </row>
    <row r="72" spans="6:6">
      <c r="F72" s="2"/>
    </row>
    <row r="73" spans="6:6">
      <c r="F73" s="2"/>
    </row>
    <row r="74" spans="6:6">
      <c r="F74" s="2"/>
    </row>
    <row r="75" spans="6:6">
      <c r="F75" s="2"/>
    </row>
    <row r="76" spans="6:6">
      <c r="F76" s="2"/>
    </row>
    <row r="77" spans="6:6">
      <c r="F77" s="2"/>
    </row>
    <row r="78" spans="6:6">
      <c r="F78" s="2"/>
    </row>
    <row r="79" spans="6:6">
      <c r="F79" s="2"/>
    </row>
    <row r="80" spans="6:6">
      <c r="F80" s="2"/>
    </row>
    <row r="81" spans="6:6">
      <c r="F81" s="2"/>
    </row>
    <row r="82" spans="6:6">
      <c r="F82" s="2"/>
    </row>
    <row r="83" spans="6:6">
      <c r="F83" s="2"/>
    </row>
    <row r="84" spans="6:6">
      <c r="F84" s="2"/>
    </row>
    <row r="85" spans="6:6">
      <c r="F85" s="2"/>
    </row>
    <row r="86" spans="6:6">
      <c r="F86" s="2"/>
    </row>
    <row r="87" spans="6:6">
      <c r="F87" s="2"/>
    </row>
    <row r="88" spans="6:6">
      <c r="F88" s="2"/>
    </row>
    <row r="89" spans="6:6">
      <c r="F89" s="2"/>
    </row>
    <row r="90" spans="6:6">
      <c r="F90" s="2"/>
    </row>
    <row r="91" spans="6:6">
      <c r="F91" s="2"/>
    </row>
    <row r="92" spans="6:6">
      <c r="F92" s="2"/>
    </row>
    <row r="93" spans="6:6">
      <c r="F93" s="2"/>
    </row>
    <row r="94" spans="6:6">
      <c r="F94" s="2"/>
    </row>
    <row r="95" spans="6:6">
      <c r="F95" s="2"/>
    </row>
    <row r="96" spans="6:6">
      <c r="F96" s="2"/>
    </row>
    <row r="97" spans="6:6">
      <c r="F97" s="2"/>
    </row>
    <row r="98" spans="6:6">
      <c r="F98" s="2"/>
    </row>
    <row r="99" spans="6:6">
      <c r="F99" s="2"/>
    </row>
    <row r="100" spans="6:6">
      <c r="F100" s="2"/>
    </row>
    <row r="101" spans="6:6">
      <c r="F101" s="2"/>
    </row>
    <row r="102" spans="6:6">
      <c r="F102" s="2"/>
    </row>
    <row r="103" spans="6:6">
      <c r="F103" s="2"/>
    </row>
    <row r="104" spans="6:6">
      <c r="F104" s="2"/>
    </row>
    <row r="105" spans="6:6">
      <c r="F105" s="2"/>
    </row>
    <row r="106" spans="6:6">
      <c r="F106" s="2"/>
    </row>
    <row r="107" spans="6:6">
      <c r="F107" s="2"/>
    </row>
    <row r="108" spans="6:6">
      <c r="F108" s="2"/>
    </row>
    <row r="109" spans="6:6">
      <c r="F109" s="2"/>
    </row>
    <row r="110" spans="6:6">
      <c r="F110" s="2"/>
    </row>
    <row r="111" spans="6:6">
      <c r="F111" s="2"/>
    </row>
    <row r="112" spans="6:6">
      <c r="F112" s="2"/>
    </row>
    <row r="113" spans="6:6">
      <c r="F113" s="2"/>
    </row>
    <row r="114" spans="6:6">
      <c r="F114" s="2"/>
    </row>
    <row r="115" spans="6:6">
      <c r="F115" s="2"/>
    </row>
    <row r="116" spans="6:6">
      <c r="F116" s="2"/>
    </row>
    <row r="117" spans="6:6">
      <c r="F117" s="2"/>
    </row>
    <row r="118" spans="6:6">
      <c r="F118" s="2"/>
    </row>
    <row r="119" spans="6:6">
      <c r="F119" s="2"/>
    </row>
  </sheetData>
  <mergeCells count="11">
    <mergeCell ref="B35:B39"/>
    <mergeCell ref="B40:B44"/>
    <mergeCell ref="B45:B49"/>
    <mergeCell ref="B50:B54"/>
    <mergeCell ref="B55:B59"/>
    <mergeCell ref="B30:B34"/>
    <mergeCell ref="G9:G10"/>
    <mergeCell ref="B10:B14"/>
    <mergeCell ref="B15:B19"/>
    <mergeCell ref="B20:B24"/>
    <mergeCell ref="B25:B29"/>
  </mergeCells>
  <conditionalFormatting sqref="A1:A7">
    <cfRule type="cellIs" dxfId="7" priority="81" stopIfTrue="1" operator="equal">
      <formula>"1 - Immediate"</formula>
    </cfRule>
    <cfRule type="containsText" dxfId="6" priority="82" stopIfTrue="1" operator="containsText" text="2 - High">
      <formula>NOT(ISERROR(SEARCH("2 - High", A1)))</formula>
    </cfRule>
    <cfRule type="containsText" dxfId="5" priority="83" stopIfTrue="1" operator="containsText" text="3 - Medium">
      <formula>NOT(ISERROR(SEARCH("3 - Medium", A1)))</formula>
    </cfRule>
    <cfRule type="containsText" dxfId="4" priority="84" stopIfTrue="1" operator="containsText" text="4 - Nice to have">
      <formula>NOT(ISERROR(SEARCH("4 - Nice to have", A1)))</formula>
    </cfRule>
  </conditionalFormatting>
  <conditionalFormatting sqref="A9:A119">
    <cfRule type="cellIs" dxfId="3" priority="1" stopIfTrue="1" operator="equal">
      <formula>"1 - Immediate"</formula>
    </cfRule>
    <cfRule type="containsText" dxfId="2" priority="2" stopIfTrue="1" operator="containsText" text="2 - High">
      <formula>NOT(ISERROR(SEARCH("2 - High", A9)))</formula>
    </cfRule>
    <cfRule type="containsText" dxfId="1" priority="3" stopIfTrue="1" operator="containsText" text="3 - Medium">
      <formula>NOT(ISERROR(SEARCH("3 - Medium", A9)))</formula>
    </cfRule>
    <cfRule type="containsText" dxfId="0" priority="4" stopIfTrue="1" operator="containsText" text="4 - Nice to have">
      <formula>NOT(ISERROR(SEARCH("4 - Nice to have", A9)))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6E96-5348-D541-9D4D-6530D36C5016}">
  <dimension ref="A2:E57"/>
  <sheetViews>
    <sheetView topLeftCell="A12" zoomScale="79" zoomScaleNormal="79" workbookViewId="0">
      <selection activeCell="F10" sqref="F10"/>
    </sheetView>
  </sheetViews>
  <sheetFormatPr defaultColWidth="11.42578125" defaultRowHeight="12.95"/>
  <cols>
    <col min="1" max="1" width="22.42578125" customWidth="1"/>
    <col min="2" max="2" width="53.140625" customWidth="1"/>
    <col min="3" max="3" width="37.85546875" customWidth="1"/>
  </cols>
  <sheetData>
    <row r="2" spans="1:3" ht="23.1">
      <c r="A2" s="43" t="s">
        <v>49</v>
      </c>
    </row>
    <row r="4" spans="1:3">
      <c r="A4" s="35" t="s">
        <v>50</v>
      </c>
    </row>
    <row r="5" spans="1:3">
      <c r="A5" s="34"/>
    </row>
    <row r="6" spans="1:3" ht="56.1">
      <c r="A6" s="34" t="s">
        <v>51</v>
      </c>
      <c r="B6" s="29" t="s">
        <v>52</v>
      </c>
    </row>
    <row r="7" spans="1:3" ht="42">
      <c r="A7" s="34" t="s">
        <v>53</v>
      </c>
      <c r="B7" t="s">
        <v>54</v>
      </c>
    </row>
    <row r="8" spans="1:3" ht="42">
      <c r="A8" s="34" t="s">
        <v>55</v>
      </c>
      <c r="B8" s="29" t="s">
        <v>56</v>
      </c>
    </row>
    <row r="9" spans="1:3" ht="27.95">
      <c r="A9" s="34" t="s">
        <v>57</v>
      </c>
      <c r="B9" s="29" t="s">
        <v>58</v>
      </c>
    </row>
    <row r="11" spans="1:3" ht="18">
      <c r="A11" s="30" t="s">
        <v>59</v>
      </c>
      <c r="B11" s="31"/>
      <c r="C11" s="31"/>
    </row>
    <row r="12" spans="1:3">
      <c r="A12" s="31"/>
      <c r="B12" s="31"/>
      <c r="C12" s="31"/>
    </row>
    <row r="13" spans="1:3">
      <c r="A13" s="32" t="s">
        <v>60</v>
      </c>
      <c r="B13" s="32" t="s">
        <v>61</v>
      </c>
      <c r="C13" s="32" t="s">
        <v>62</v>
      </c>
    </row>
    <row r="14" spans="1:3">
      <c r="A14" s="33" t="s">
        <v>63</v>
      </c>
      <c r="B14" s="33" t="s">
        <v>64</v>
      </c>
      <c r="C14" s="33" t="s">
        <v>65</v>
      </c>
    </row>
    <row r="15" spans="1:3">
      <c r="A15" s="33" t="s">
        <v>66</v>
      </c>
      <c r="B15" s="33" t="s">
        <v>67</v>
      </c>
      <c r="C15" s="33" t="s">
        <v>68</v>
      </c>
    </row>
    <row r="16" spans="1:3">
      <c r="A16" s="33" t="s">
        <v>69</v>
      </c>
      <c r="B16" s="33" t="s">
        <v>70</v>
      </c>
      <c r="C16" s="33" t="s">
        <v>71</v>
      </c>
    </row>
    <row r="17" spans="1:3">
      <c r="A17" s="33" t="s">
        <v>72</v>
      </c>
      <c r="B17" s="33" t="s">
        <v>73</v>
      </c>
      <c r="C17" s="33" t="s">
        <v>74</v>
      </c>
    </row>
    <row r="18" spans="1:3">
      <c r="A18" s="33" t="s">
        <v>75</v>
      </c>
      <c r="B18" s="33" t="s">
        <v>76</v>
      </c>
      <c r="C18" s="33" t="s">
        <v>77</v>
      </c>
    </row>
    <row r="20" spans="1:3" ht="18">
      <c r="A20" s="30" t="s">
        <v>78</v>
      </c>
    </row>
    <row r="21" spans="1:3">
      <c r="A21" s="31"/>
    </row>
    <row r="22" spans="1:3">
      <c r="A22" s="33" t="s">
        <v>79</v>
      </c>
    </row>
    <row r="23" spans="1:3">
      <c r="A23" s="33" t="s">
        <v>80</v>
      </c>
    </row>
    <row r="24" spans="1:3">
      <c r="A24" s="33" t="s">
        <v>81</v>
      </c>
    </row>
    <row r="25" spans="1:3">
      <c r="A25" s="33" t="s">
        <v>82</v>
      </c>
    </row>
    <row r="26" spans="1:3">
      <c r="A26" s="33" t="s">
        <v>83</v>
      </c>
    </row>
    <row r="27" spans="1:3">
      <c r="A27" s="33" t="s">
        <v>84</v>
      </c>
    </row>
    <row r="28" spans="1:3">
      <c r="A28" s="33" t="s">
        <v>85</v>
      </c>
    </row>
    <row r="29" spans="1:3">
      <c r="A29" s="33" t="s">
        <v>86</v>
      </c>
    </row>
    <row r="32" spans="1:3" ht="23.1">
      <c r="A32" s="36" t="s">
        <v>87</v>
      </c>
    </row>
    <row r="34" spans="1:5">
      <c r="A34" s="33" t="s">
        <v>88</v>
      </c>
    </row>
    <row r="36" spans="1:5" ht="18">
      <c r="A36" s="30" t="s">
        <v>89</v>
      </c>
    </row>
    <row r="38" spans="1:5" ht="14.1">
      <c r="A38" s="37" t="s">
        <v>90</v>
      </c>
      <c r="B38" s="37" t="s">
        <v>91</v>
      </c>
      <c r="C38" s="37" t="s">
        <v>92</v>
      </c>
      <c r="D38" s="37" t="s">
        <v>60</v>
      </c>
      <c r="E38" s="38"/>
    </row>
    <row r="39" spans="1:5" ht="17.100000000000001">
      <c r="A39" s="39" t="s">
        <v>93</v>
      </c>
      <c r="B39" s="39" t="s">
        <v>94</v>
      </c>
      <c r="C39" s="39" t="s">
        <v>95</v>
      </c>
      <c r="D39" s="39" t="s">
        <v>96</v>
      </c>
      <c r="E39" s="38"/>
    </row>
    <row r="40" spans="1:5" ht="27.95">
      <c r="A40" s="39" t="s">
        <v>97</v>
      </c>
      <c r="B40" s="39" t="s">
        <v>98</v>
      </c>
      <c r="C40" s="39" t="s">
        <v>99</v>
      </c>
      <c r="D40" s="39" t="s">
        <v>100</v>
      </c>
      <c r="E40" s="38"/>
    </row>
    <row r="41" spans="1:5" ht="17.100000000000001">
      <c r="A41" s="39" t="s">
        <v>101</v>
      </c>
      <c r="B41" s="39" t="s">
        <v>102</v>
      </c>
      <c r="C41" s="39" t="s">
        <v>103</v>
      </c>
      <c r="D41" s="39" t="s">
        <v>100</v>
      </c>
      <c r="E41" s="38"/>
    </row>
    <row r="42" spans="1:5" ht="17.100000000000001">
      <c r="A42" s="39" t="s">
        <v>104</v>
      </c>
      <c r="B42" s="39" t="s">
        <v>105</v>
      </c>
      <c r="C42" s="39" t="s">
        <v>106</v>
      </c>
      <c r="D42" s="39" t="s">
        <v>100</v>
      </c>
      <c r="E42" s="38"/>
    </row>
    <row r="43" spans="1:5" ht="17.100000000000001">
      <c r="A43" s="39" t="s">
        <v>107</v>
      </c>
      <c r="B43" s="39" t="s">
        <v>108</v>
      </c>
      <c r="C43" s="39" t="s">
        <v>109</v>
      </c>
      <c r="D43" s="39" t="s">
        <v>110</v>
      </c>
      <c r="E43" s="38"/>
    </row>
    <row r="44" spans="1:5" ht="17.100000000000001">
      <c r="A44" s="39" t="s">
        <v>111</v>
      </c>
      <c r="B44" s="39" t="s">
        <v>112</v>
      </c>
      <c r="C44" s="39" t="s">
        <v>113</v>
      </c>
      <c r="D44" s="39" t="s">
        <v>110</v>
      </c>
      <c r="E44" s="38"/>
    </row>
    <row r="45" spans="1:5" ht="14.1">
      <c r="A45" s="39" t="s">
        <v>114</v>
      </c>
      <c r="B45" s="39" t="s">
        <v>115</v>
      </c>
      <c r="C45" s="39" t="s">
        <v>116</v>
      </c>
      <c r="D45" s="39" t="s">
        <v>100</v>
      </c>
      <c r="E45" s="38"/>
    </row>
    <row r="46" spans="1:5" ht="27.95">
      <c r="A46" s="39" t="s">
        <v>117</v>
      </c>
      <c r="B46" s="39" t="s">
        <v>118</v>
      </c>
      <c r="C46" s="39" t="s">
        <v>119</v>
      </c>
      <c r="D46" s="39" t="s">
        <v>120</v>
      </c>
      <c r="E46" s="38"/>
    </row>
    <row r="49" spans="1:5" ht="18">
      <c r="A49" s="30" t="s">
        <v>121</v>
      </c>
    </row>
    <row r="51" spans="1:5" ht="14.1">
      <c r="A51" s="37" t="s">
        <v>90</v>
      </c>
      <c r="B51" s="37" t="s">
        <v>91</v>
      </c>
      <c r="C51" s="37" t="s">
        <v>92</v>
      </c>
      <c r="D51" s="37" t="s">
        <v>60</v>
      </c>
      <c r="E51" s="38"/>
    </row>
    <row r="52" spans="1:5" ht="14.1">
      <c r="A52" s="39" t="s">
        <v>122</v>
      </c>
      <c r="B52" s="39" t="s">
        <v>123</v>
      </c>
      <c r="C52" s="39" t="s">
        <v>124</v>
      </c>
      <c r="D52" s="39" t="s">
        <v>96</v>
      </c>
      <c r="E52" s="38"/>
    </row>
    <row r="53" spans="1:5" ht="14.1">
      <c r="A53" s="39" t="s">
        <v>125</v>
      </c>
      <c r="B53" s="39" t="s">
        <v>126</v>
      </c>
      <c r="C53" s="39" t="s">
        <v>127</v>
      </c>
      <c r="D53" s="39" t="s">
        <v>100</v>
      </c>
      <c r="E53" s="38"/>
    </row>
    <row r="54" spans="1:5" ht="27.95">
      <c r="A54" s="39" t="s">
        <v>128</v>
      </c>
      <c r="B54" s="39" t="s">
        <v>129</v>
      </c>
      <c r="C54" s="39" t="s">
        <v>130</v>
      </c>
      <c r="D54" s="39" t="s">
        <v>100</v>
      </c>
      <c r="E54" s="38"/>
    </row>
    <row r="55" spans="1:5" ht="14.1">
      <c r="A55" s="39" t="s">
        <v>131</v>
      </c>
      <c r="B55" s="39" t="s">
        <v>132</v>
      </c>
      <c r="C55" s="39" t="s">
        <v>133</v>
      </c>
      <c r="D55" s="39" t="s">
        <v>100</v>
      </c>
      <c r="E55" s="38"/>
    </row>
    <row r="56" spans="1:5" ht="14.1">
      <c r="A56" s="39" t="s">
        <v>134</v>
      </c>
      <c r="B56" s="39" t="s">
        <v>135</v>
      </c>
      <c r="C56" s="39" t="s">
        <v>136</v>
      </c>
      <c r="D56" s="39" t="s">
        <v>120</v>
      </c>
      <c r="E56" s="38"/>
    </row>
    <row r="57" spans="1:5" ht="14.1">
      <c r="A57" s="39" t="s">
        <v>137</v>
      </c>
      <c r="B57" s="39" t="s">
        <v>138</v>
      </c>
      <c r="C57" s="39" t="s">
        <v>139</v>
      </c>
      <c r="D57" s="39" t="s">
        <v>96</v>
      </c>
      <c r="E57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0477-D9DC-3F45-A51E-A3BBB50B0ED4}">
  <dimension ref="A3:C24"/>
  <sheetViews>
    <sheetView tabSelected="1" topLeftCell="A18" zoomScale="55" zoomScaleNormal="55" workbookViewId="0">
      <selection activeCell="C22" sqref="C22"/>
    </sheetView>
  </sheetViews>
  <sheetFormatPr defaultColWidth="11.42578125" defaultRowHeight="12.95"/>
  <cols>
    <col min="1" max="1" width="20.28515625" customWidth="1"/>
    <col min="2" max="2" width="106.140625" customWidth="1"/>
    <col min="3" max="3" width="35.7109375" customWidth="1"/>
  </cols>
  <sheetData>
    <row r="3" spans="1:3" ht="14.1">
      <c r="A3" s="37" t="s">
        <v>140</v>
      </c>
      <c r="B3" s="40" t="s">
        <v>7</v>
      </c>
    </row>
    <row r="4" spans="1:3">
      <c r="A4" s="41" t="s">
        <v>141</v>
      </c>
      <c r="B4" s="40" t="s">
        <v>142</v>
      </c>
    </row>
    <row r="5" spans="1:3">
      <c r="A5" s="41" t="s">
        <v>143</v>
      </c>
      <c r="B5" s="40" t="s">
        <v>144</v>
      </c>
    </row>
    <row r="6" spans="1:3">
      <c r="A6" s="41" t="s">
        <v>145</v>
      </c>
      <c r="B6" s="40" t="s">
        <v>146</v>
      </c>
    </row>
    <row r="7" spans="1:3">
      <c r="A7" s="41" t="s">
        <v>147</v>
      </c>
      <c r="B7" s="40" t="s">
        <v>148</v>
      </c>
    </row>
    <row r="8" spans="1:3" ht="24">
      <c r="A8" s="42" t="s">
        <v>149</v>
      </c>
      <c r="B8" s="39" t="s">
        <v>150</v>
      </c>
    </row>
    <row r="9" spans="1:3" ht="24">
      <c r="A9" s="41" t="s">
        <v>151</v>
      </c>
      <c r="B9" s="39" t="s">
        <v>152</v>
      </c>
    </row>
    <row r="10" spans="1:3" ht="318.75" customHeight="1">
      <c r="A10" s="41" t="s">
        <v>153</v>
      </c>
      <c r="B10" s="39" t="e" vm="1">
        <v>#VALUE!</v>
      </c>
    </row>
    <row r="11" spans="1:3" ht="24">
      <c r="A11" s="41" t="s">
        <v>154</v>
      </c>
      <c r="B11" s="39" t="s">
        <v>155</v>
      </c>
    </row>
    <row r="12" spans="1:3" ht="12.75">
      <c r="A12" s="41" t="s">
        <v>156</v>
      </c>
      <c r="B12" s="39" t="s">
        <v>157</v>
      </c>
      <c r="C12" s="29"/>
    </row>
    <row r="15" spans="1:3" ht="12.75">
      <c r="A15" s="37" t="s">
        <v>140</v>
      </c>
      <c r="B15" s="40" t="s">
        <v>11</v>
      </c>
    </row>
    <row r="16" spans="1:3" ht="12.75">
      <c r="A16" s="41" t="s">
        <v>141</v>
      </c>
      <c r="B16" t="s">
        <v>158</v>
      </c>
    </row>
    <row r="17" spans="1:3" ht="12.75">
      <c r="A17" s="41" t="s">
        <v>143</v>
      </c>
      <c r="B17" t="s">
        <v>159</v>
      </c>
    </row>
    <row r="18" spans="1:3" ht="12.75">
      <c r="A18" s="41" t="s">
        <v>145</v>
      </c>
      <c r="B18" t="s">
        <v>160</v>
      </c>
    </row>
    <row r="19" spans="1:3" ht="12.75">
      <c r="A19" s="41" t="s">
        <v>147</v>
      </c>
      <c r="B19" t="s">
        <v>161</v>
      </c>
    </row>
    <row r="20" spans="1:3" ht="24">
      <c r="A20" s="42" t="s">
        <v>149</v>
      </c>
      <c r="B20" s="39" t="s">
        <v>162</v>
      </c>
    </row>
    <row r="21" spans="1:3" ht="12.75">
      <c r="A21" s="41" t="s">
        <v>151</v>
      </c>
      <c r="B21" t="s">
        <v>163</v>
      </c>
    </row>
    <row r="22" spans="1:3" ht="333" customHeight="1">
      <c r="A22" s="41" t="s">
        <v>153</v>
      </c>
      <c r="B22" s="39" t="e" vm="2">
        <v>#VALUE!</v>
      </c>
      <c r="C22" s="55"/>
    </row>
    <row r="23" spans="1:3" ht="12.75">
      <c r="A23" s="41" t="s">
        <v>154</v>
      </c>
      <c r="B23" t="s">
        <v>164</v>
      </c>
    </row>
    <row r="24" spans="1:3" ht="12.75">
      <c r="A24" s="41" t="s">
        <v>156</v>
      </c>
      <c r="B24" t="s">
        <v>165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5911-B5B0-1244-AA95-DCAA95447160}">
  <dimension ref="B2:F6"/>
  <sheetViews>
    <sheetView zoomScale="111" zoomScaleNormal="111" workbookViewId="0">
      <selection activeCell="D6" sqref="D6"/>
    </sheetView>
  </sheetViews>
  <sheetFormatPr defaultColWidth="11.42578125" defaultRowHeight="12.95"/>
  <cols>
    <col min="3" max="3" width="29.28515625" customWidth="1"/>
    <col min="6" max="6" width="29.85546875" customWidth="1"/>
  </cols>
  <sheetData>
    <row r="2" spans="2:6" ht="14.1">
      <c r="B2" s="37" t="s">
        <v>166</v>
      </c>
      <c r="C2" s="37" t="s">
        <v>167</v>
      </c>
      <c r="D2" s="37" t="s">
        <v>168</v>
      </c>
      <c r="E2" s="37" t="s">
        <v>169</v>
      </c>
      <c r="F2" s="37" t="s">
        <v>42</v>
      </c>
    </row>
    <row r="3" spans="2:6" ht="14.1">
      <c r="B3" s="48" t="s">
        <v>170</v>
      </c>
      <c r="C3" s="39" t="s">
        <v>171</v>
      </c>
      <c r="D3" s="38">
        <v>7</v>
      </c>
      <c r="E3" s="49">
        <f>D3/D4</f>
        <v>0.53846153846153844</v>
      </c>
      <c r="F3" s="51" t="s">
        <v>172</v>
      </c>
    </row>
    <row r="4" spans="2:6" ht="14.1">
      <c r="B4" s="48"/>
      <c r="C4" s="39" t="s">
        <v>173</v>
      </c>
      <c r="D4" s="38">
        <v>13</v>
      </c>
      <c r="E4" s="50"/>
      <c r="F4" s="52"/>
    </row>
    <row r="5" spans="2:6" ht="14.1">
      <c r="B5" s="48" t="s">
        <v>174</v>
      </c>
      <c r="C5" s="39" t="s">
        <v>175</v>
      </c>
      <c r="D5" s="38">
        <v>15</v>
      </c>
      <c r="E5" s="49">
        <f>D5/D6</f>
        <v>0.5</v>
      </c>
      <c r="F5" s="53" t="s">
        <v>176</v>
      </c>
    </row>
    <row r="6" spans="2:6" ht="14.1">
      <c r="B6" s="48"/>
      <c r="C6" s="39" t="s">
        <v>177</v>
      </c>
      <c r="D6" s="38">
        <v>30</v>
      </c>
      <c r="E6" s="50"/>
      <c r="F6" s="54"/>
    </row>
  </sheetData>
  <mergeCells count="6">
    <mergeCell ref="B3:B4"/>
    <mergeCell ref="E3:E4"/>
    <mergeCell ref="B5:B6"/>
    <mergeCell ref="E5:E6"/>
    <mergeCell ref="F3:F4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Hemington, Derek</dc:creator>
  <cp:keywords/>
  <dc:description/>
  <cp:lastModifiedBy/>
  <cp:revision/>
  <dcterms:created xsi:type="dcterms:W3CDTF">2014-07-16T18:57:27Z</dcterms:created>
  <dcterms:modified xsi:type="dcterms:W3CDTF">2026-10-27T02:19:53Z</dcterms:modified>
  <cp:category/>
  <cp:contentStatus/>
</cp:coreProperties>
</file>